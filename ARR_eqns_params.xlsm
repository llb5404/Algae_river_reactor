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270a513fc42dc90/Desktop/"/>
    </mc:Choice>
  </mc:AlternateContent>
  <xr:revisionPtr revIDLastSave="0" documentId="8_{99944022-51F9-433A-91A2-F2E6624C9AFF}" xr6:coauthVersionLast="47" xr6:coauthVersionMax="47" xr10:uidLastSave="{00000000-0000-0000-0000-000000000000}"/>
  <bookViews>
    <workbookView xWindow="-120" yWindow="-120" windowWidth="29040" windowHeight="15840" xr2:uid="{C53382B5-0A96-4D3B-8530-1189707F8854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B88" i="1"/>
  <c r="B70" i="1"/>
  <c r="B85" i="1"/>
  <c r="B84" i="1"/>
  <c r="M6" i="1"/>
  <c r="D3" i="2" s="1"/>
  <c r="B67" i="1"/>
  <c r="B66" i="1"/>
  <c r="B64" i="1"/>
  <c r="J11" i="1"/>
  <c r="J4" i="1"/>
  <c r="B29" i="1" s="1"/>
  <c r="B51" i="1" s="1"/>
  <c r="B48" i="1"/>
  <c r="M5" i="1"/>
  <c r="M4" i="1"/>
  <c r="M3" i="1"/>
  <c r="M2" i="1"/>
  <c r="J2" i="1"/>
  <c r="B10" i="1" s="1"/>
  <c r="B78" i="1" a="1"/>
  <c r="B93" i="1" l="1"/>
  <c r="B27" i="1"/>
  <c r="B12" i="1"/>
  <c r="B11" i="1"/>
  <c r="B89" i="1"/>
  <c r="D2" i="2"/>
  <c r="B90" i="1"/>
  <c r="B78" i="1"/>
  <c r="D277" i="2"/>
  <c r="D276" i="2"/>
  <c r="D241" i="2"/>
  <c r="D205" i="2"/>
  <c r="D204" i="2"/>
  <c r="D169" i="2"/>
  <c r="D122" i="2"/>
  <c r="D86" i="2"/>
  <c r="D275" i="2"/>
  <c r="D239" i="2"/>
  <c r="D203" i="2"/>
  <c r="D167" i="2"/>
  <c r="D110" i="2"/>
  <c r="D121" i="2"/>
  <c r="D302" i="2"/>
  <c r="D266" i="2"/>
  <c r="D230" i="2"/>
  <c r="D194" i="2"/>
  <c r="D158" i="2"/>
  <c r="D109" i="2"/>
  <c r="B38" i="1"/>
  <c r="D301" i="2"/>
  <c r="D265" i="2"/>
  <c r="D229" i="2"/>
  <c r="D193" i="2"/>
  <c r="D157" i="2"/>
  <c r="D98" i="2"/>
  <c r="D299" i="2"/>
  <c r="D263" i="2"/>
  <c r="D227" i="2"/>
  <c r="D191" i="2"/>
  <c r="D155" i="2"/>
  <c r="D74" i="2"/>
  <c r="D240" i="2"/>
  <c r="D300" i="2"/>
  <c r="D290" i="2"/>
  <c r="D254" i="2"/>
  <c r="D218" i="2"/>
  <c r="D182" i="2"/>
  <c r="D146" i="2"/>
  <c r="D62" i="2"/>
  <c r="D289" i="2"/>
  <c r="D253" i="2"/>
  <c r="D217" i="2"/>
  <c r="D181" i="2"/>
  <c r="D145" i="2"/>
  <c r="D50" i="2"/>
  <c r="D168" i="2"/>
  <c r="D228" i="2"/>
  <c r="D288" i="2"/>
  <c r="D252" i="2"/>
  <c r="D216" i="2"/>
  <c r="D180" i="2"/>
  <c r="D144" i="2"/>
  <c r="D38" i="2"/>
  <c r="D192" i="2"/>
  <c r="D287" i="2"/>
  <c r="D251" i="2"/>
  <c r="D215" i="2"/>
  <c r="D179" i="2"/>
  <c r="D134" i="2"/>
  <c r="D26" i="2"/>
  <c r="D264" i="2"/>
  <c r="D156" i="2"/>
  <c r="D278" i="2"/>
  <c r="D242" i="2"/>
  <c r="D206" i="2"/>
  <c r="D170" i="2"/>
  <c r="D133" i="2"/>
  <c r="D14" i="2"/>
  <c r="D97" i="2"/>
  <c r="D85" i="2"/>
  <c r="D73" i="2"/>
  <c r="D61" i="2"/>
  <c r="D49" i="2"/>
  <c r="D37" i="2"/>
  <c r="D25" i="2"/>
  <c r="D13" i="2"/>
  <c r="D132" i="2"/>
  <c r="D120" i="2"/>
  <c r="D108" i="2"/>
  <c r="D96" i="2"/>
  <c r="D84" i="2"/>
  <c r="D72" i="2"/>
  <c r="D60" i="2"/>
  <c r="D48" i="2"/>
  <c r="D36" i="2"/>
  <c r="D24" i="2"/>
  <c r="D12" i="2"/>
  <c r="D143" i="2"/>
  <c r="D131" i="2"/>
  <c r="D119" i="2"/>
  <c r="D107" i="2"/>
  <c r="D95" i="2"/>
  <c r="D83" i="2"/>
  <c r="D71" i="2"/>
  <c r="D59" i="2"/>
  <c r="D47" i="2"/>
  <c r="D35" i="2"/>
  <c r="D23" i="2"/>
  <c r="D11" i="2"/>
  <c r="B23" i="1"/>
  <c r="D298" i="2"/>
  <c r="D286" i="2"/>
  <c r="D274" i="2"/>
  <c r="D262" i="2"/>
  <c r="D250" i="2"/>
  <c r="D238" i="2"/>
  <c r="D226" i="2"/>
  <c r="D214" i="2"/>
  <c r="D202" i="2"/>
  <c r="D190" i="2"/>
  <c r="D178" i="2"/>
  <c r="D166" i="2"/>
  <c r="D154" i="2"/>
  <c r="D142" i="2"/>
  <c r="D130" i="2"/>
  <c r="D118" i="2"/>
  <c r="D106" i="2"/>
  <c r="D94" i="2"/>
  <c r="D82" i="2"/>
  <c r="D70" i="2"/>
  <c r="D58" i="2"/>
  <c r="D46" i="2"/>
  <c r="D34" i="2"/>
  <c r="D22" i="2"/>
  <c r="D10" i="2"/>
  <c r="B24" i="1"/>
  <c r="B25" i="1" s="1"/>
  <c r="D297" i="2"/>
  <c r="D285" i="2"/>
  <c r="D273" i="2"/>
  <c r="D261" i="2"/>
  <c r="D249" i="2"/>
  <c r="D237" i="2"/>
  <c r="D225" i="2"/>
  <c r="D213" i="2"/>
  <c r="D201" i="2"/>
  <c r="D189" i="2"/>
  <c r="D177" i="2"/>
  <c r="D165" i="2"/>
  <c r="D153" i="2"/>
  <c r="D141" i="2"/>
  <c r="D129" i="2"/>
  <c r="D117" i="2"/>
  <c r="D105" i="2"/>
  <c r="D93" i="2"/>
  <c r="D81" i="2"/>
  <c r="D69" i="2"/>
  <c r="D57" i="2"/>
  <c r="D45" i="2"/>
  <c r="D33" i="2"/>
  <c r="D21" i="2"/>
  <c r="D9" i="2"/>
  <c r="D296" i="2"/>
  <c r="D284" i="2"/>
  <c r="D272" i="2"/>
  <c r="D260" i="2"/>
  <c r="D248" i="2"/>
  <c r="D236" i="2"/>
  <c r="D224" i="2"/>
  <c r="D212" i="2"/>
  <c r="D200" i="2"/>
  <c r="D188" i="2"/>
  <c r="D176" i="2"/>
  <c r="D164" i="2"/>
  <c r="D152" i="2"/>
  <c r="D140" i="2"/>
  <c r="D128" i="2"/>
  <c r="D116" i="2"/>
  <c r="D104" i="2"/>
  <c r="D92" i="2"/>
  <c r="D80" i="2"/>
  <c r="D68" i="2"/>
  <c r="D56" i="2"/>
  <c r="D44" i="2"/>
  <c r="D32" i="2"/>
  <c r="D20" i="2"/>
  <c r="D8" i="2"/>
  <c r="B74" i="1"/>
  <c r="D295" i="2"/>
  <c r="D283" i="2"/>
  <c r="D271" i="2"/>
  <c r="D259" i="2"/>
  <c r="D247" i="2"/>
  <c r="D235" i="2"/>
  <c r="D223" i="2"/>
  <c r="D211" i="2"/>
  <c r="D199" i="2"/>
  <c r="D187" i="2"/>
  <c r="D175" i="2"/>
  <c r="D163" i="2"/>
  <c r="D151" i="2"/>
  <c r="D139" i="2"/>
  <c r="D127" i="2"/>
  <c r="D115" i="2"/>
  <c r="D103" i="2"/>
  <c r="D91" i="2"/>
  <c r="D79" i="2"/>
  <c r="D67" i="2"/>
  <c r="D55" i="2"/>
  <c r="D43" i="2"/>
  <c r="D31" i="2"/>
  <c r="D19" i="2"/>
  <c r="D7" i="2"/>
  <c r="B75" i="1"/>
  <c r="D294" i="2"/>
  <c r="D282" i="2"/>
  <c r="D270" i="2"/>
  <c r="D258" i="2"/>
  <c r="D246" i="2"/>
  <c r="D234" i="2"/>
  <c r="D222" i="2"/>
  <c r="D210" i="2"/>
  <c r="D198" i="2"/>
  <c r="D186" i="2"/>
  <c r="D174" i="2"/>
  <c r="D162" i="2"/>
  <c r="D150" i="2"/>
  <c r="D138" i="2"/>
  <c r="D126" i="2"/>
  <c r="D114" i="2"/>
  <c r="D102" i="2"/>
  <c r="D90" i="2"/>
  <c r="D78" i="2"/>
  <c r="D66" i="2"/>
  <c r="D54" i="2"/>
  <c r="D42" i="2"/>
  <c r="D30" i="2"/>
  <c r="D18" i="2"/>
  <c r="D6" i="2"/>
  <c r="D293" i="2"/>
  <c r="D281" i="2"/>
  <c r="D269" i="2"/>
  <c r="D257" i="2"/>
  <c r="D245" i="2"/>
  <c r="D233" i="2"/>
  <c r="D221" i="2"/>
  <c r="D209" i="2"/>
  <c r="D197" i="2"/>
  <c r="D185" i="2"/>
  <c r="D173" i="2"/>
  <c r="D161" i="2"/>
  <c r="D149" i="2"/>
  <c r="D137" i="2"/>
  <c r="D125" i="2"/>
  <c r="D113" i="2"/>
  <c r="D101" i="2"/>
  <c r="D89" i="2"/>
  <c r="D77" i="2"/>
  <c r="D65" i="2"/>
  <c r="D53" i="2"/>
  <c r="D41" i="2"/>
  <c r="D29" i="2"/>
  <c r="D17" i="2"/>
  <c r="D5" i="2"/>
  <c r="B36" i="1"/>
  <c r="D292" i="2"/>
  <c r="D280" i="2"/>
  <c r="D268" i="2"/>
  <c r="D256" i="2"/>
  <c r="D244" i="2"/>
  <c r="D232" i="2"/>
  <c r="D220" i="2"/>
  <c r="D208" i="2"/>
  <c r="D196" i="2"/>
  <c r="D184" i="2"/>
  <c r="D172" i="2"/>
  <c r="D160" i="2"/>
  <c r="D148" i="2"/>
  <c r="D136" i="2"/>
  <c r="D124" i="2"/>
  <c r="D112" i="2"/>
  <c r="D100" i="2"/>
  <c r="D88" i="2"/>
  <c r="D76" i="2"/>
  <c r="D64" i="2"/>
  <c r="D52" i="2"/>
  <c r="D40" i="2"/>
  <c r="D28" i="2"/>
  <c r="D16" i="2"/>
  <c r="D4" i="2"/>
  <c r="B26" i="1"/>
  <c r="B34" i="1"/>
  <c r="B35" i="1" s="1"/>
  <c r="D291" i="2"/>
  <c r="D279" i="2"/>
  <c r="D267" i="2"/>
  <c r="D255" i="2"/>
  <c r="D243" i="2"/>
  <c r="D231" i="2"/>
  <c r="D219" i="2"/>
  <c r="D207" i="2"/>
  <c r="D195" i="2"/>
  <c r="D183" i="2"/>
  <c r="D171" i="2"/>
  <c r="D159" i="2"/>
  <c r="D147" i="2"/>
  <c r="D135" i="2"/>
  <c r="D123" i="2"/>
  <c r="D111" i="2"/>
  <c r="D99" i="2"/>
  <c r="D87" i="2"/>
  <c r="D75" i="2"/>
  <c r="D63" i="2"/>
  <c r="D51" i="2"/>
  <c r="D39" i="2"/>
  <c r="D27" i="2"/>
  <c r="D15" i="2"/>
  <c r="B49" i="1"/>
  <c r="B50" i="1" s="1"/>
  <c r="B52" i="1" s="1"/>
  <c r="B9" i="1"/>
  <c r="B15" i="1" s="1"/>
  <c r="B16" i="1" s="1"/>
  <c r="B13" i="1" l="1"/>
  <c r="B17" i="1" s="1"/>
  <c r="B18" i="1" s="1"/>
  <c r="B92" i="1" s="1"/>
  <c r="B76" i="1"/>
  <c r="B82" i="1"/>
  <c r="B56" i="1"/>
  <c r="B53" i="1"/>
  <c r="B91" i="1" s="1"/>
  <c r="B94" i="1" s="1"/>
  <c r="B57" i="1" l="1"/>
  <c r="B59" i="1"/>
  <c r="B60" i="1" s="1"/>
  <c r="B58" i="1"/>
  <c r="E3" i="2" l="1"/>
  <c r="E124" i="2"/>
  <c r="E56" i="2"/>
  <c r="E194" i="2"/>
  <c r="E258" i="2"/>
  <c r="E278" i="2"/>
  <c r="E126" i="2"/>
  <c r="E37" i="2"/>
  <c r="E5" i="2"/>
  <c r="E36" i="2"/>
  <c r="E172" i="2"/>
  <c r="E127" i="2"/>
  <c r="E288" i="2"/>
  <c r="E29" i="2"/>
  <c r="E59" i="2"/>
  <c r="E208" i="2"/>
  <c r="E72" i="2"/>
  <c r="E220" i="2"/>
  <c r="E106" i="2"/>
  <c r="E99" i="2"/>
  <c r="E8" i="2"/>
  <c r="E240" i="2"/>
  <c r="E210" i="2"/>
  <c r="E133" i="2"/>
  <c r="E221" i="2"/>
  <c r="E176" i="2"/>
  <c r="E86" i="2"/>
  <c r="E301" i="2"/>
  <c r="E287" i="2"/>
  <c r="E21" i="2"/>
  <c r="E150" i="2"/>
  <c r="E24" i="2"/>
  <c r="E71" i="2"/>
  <c r="E109" i="2"/>
  <c r="E177" i="2"/>
  <c r="E200" i="2"/>
  <c r="E169" i="2"/>
  <c r="E91" i="2"/>
  <c r="E180" i="2"/>
  <c r="E270" i="2"/>
  <c r="E156" i="2"/>
  <c r="E293" i="2"/>
  <c r="E49" i="2"/>
  <c r="E149" i="2"/>
  <c r="E271" i="2"/>
  <c r="E218" i="2"/>
  <c r="E173" i="2"/>
  <c r="E60" i="2"/>
  <c r="E174" i="2"/>
  <c r="E85" i="2"/>
  <c r="E53" i="2"/>
  <c r="E250" i="2"/>
  <c r="E185" i="2"/>
  <c r="E152" i="2"/>
  <c r="E43" i="2"/>
  <c r="E147" i="2"/>
  <c r="E187" i="2"/>
  <c r="E291" i="2"/>
  <c r="E165" i="2"/>
  <c r="E267" i="2"/>
  <c r="E268" i="2"/>
  <c r="E74" i="2"/>
  <c r="E142" i="2"/>
  <c r="E261" i="2"/>
  <c r="E192" i="2"/>
  <c r="E203" i="2"/>
  <c r="E55" i="2"/>
  <c r="E23" i="2"/>
  <c r="E82" i="2"/>
  <c r="E251" i="2"/>
  <c r="E114" i="2"/>
  <c r="E196" i="2"/>
  <c r="E100" i="2"/>
  <c r="E132" i="2"/>
  <c r="E45" i="2"/>
  <c r="E188" i="2"/>
  <c r="E235" i="2"/>
  <c r="E62" i="2"/>
  <c r="E103" i="2"/>
  <c r="E216" i="2"/>
  <c r="E282" i="2"/>
  <c r="E264" i="2"/>
  <c r="E138" i="2"/>
  <c r="E104" i="2"/>
  <c r="E157" i="2"/>
  <c r="E18" i="2"/>
  <c r="E73" i="2"/>
  <c r="E7" i="2"/>
  <c r="E179" i="2"/>
  <c r="E197" i="2"/>
  <c r="E83" i="2"/>
  <c r="E123" i="2"/>
  <c r="E296" i="2"/>
  <c r="E239" i="2"/>
  <c r="E181" i="2"/>
  <c r="E112" i="2"/>
  <c r="E170" i="2"/>
  <c r="E96" i="2"/>
  <c r="E41" i="2"/>
  <c r="E64" i="2"/>
  <c r="E274" i="2"/>
  <c r="E269" i="2"/>
  <c r="E77" i="2"/>
  <c r="E35" i="2"/>
  <c r="E298" i="2"/>
  <c r="E108" i="2"/>
  <c r="E27" i="2"/>
  <c r="E189" i="2"/>
  <c r="E158" i="2"/>
  <c r="E68" i="2"/>
  <c r="E263" i="2"/>
  <c r="E247" i="2"/>
  <c r="E146" i="2"/>
  <c r="E115" i="2"/>
  <c r="E252" i="2"/>
  <c r="E75" i="2"/>
  <c r="E248" i="2"/>
  <c r="E121" i="2"/>
  <c r="E162" i="2"/>
  <c r="E134" i="2"/>
  <c r="E151" i="2"/>
  <c r="E168" i="2"/>
  <c r="E42" i="2"/>
  <c r="E84" i="2"/>
  <c r="E141" i="2"/>
  <c r="E20" i="2"/>
  <c r="E79" i="2"/>
  <c r="E175" i="2"/>
  <c r="E136" i="2"/>
  <c r="E22" i="2"/>
  <c r="E39" i="2"/>
  <c r="E212" i="2"/>
  <c r="E230" i="2"/>
  <c r="E80" i="2"/>
  <c r="E299" i="2"/>
  <c r="E259" i="2"/>
  <c r="E182" i="2"/>
  <c r="E219" i="2"/>
  <c r="E93" i="2"/>
  <c r="E276" i="2"/>
  <c r="E139" i="2"/>
  <c r="E228" i="2"/>
  <c r="E295" i="2"/>
  <c r="E290" i="2"/>
  <c r="E186" i="2"/>
  <c r="E97" i="2"/>
  <c r="E88" i="2"/>
  <c r="E285" i="2"/>
  <c r="E33" i="2"/>
  <c r="E164" i="2"/>
  <c r="E275" i="2"/>
  <c r="E256" i="2"/>
  <c r="E286" i="2"/>
  <c r="E118" i="2"/>
  <c r="E9" i="2"/>
  <c r="E89" i="2"/>
  <c r="E300" i="2"/>
  <c r="E30" i="2"/>
  <c r="E253" i="2"/>
  <c r="E265" i="2"/>
  <c r="E279" i="2"/>
  <c r="E94" i="2"/>
  <c r="E14" i="2"/>
  <c r="E137" i="2"/>
  <c r="E238" i="2"/>
  <c r="E135" i="2"/>
  <c r="E25" i="2"/>
  <c r="E294" i="2"/>
  <c r="E66" i="2"/>
  <c r="E280" i="2"/>
  <c r="E166" i="2"/>
  <c r="E183" i="2"/>
  <c r="E57" i="2"/>
  <c r="E204" i="2"/>
  <c r="E224" i="2"/>
  <c r="E266" i="2"/>
  <c r="E92" i="2"/>
  <c r="E98" i="2"/>
  <c r="E40" i="2"/>
  <c r="E237" i="2"/>
  <c r="E245" i="2"/>
  <c r="E283" i="2"/>
  <c r="E254" i="2"/>
  <c r="E128" i="2"/>
  <c r="E229" i="2"/>
  <c r="E19" i="2"/>
  <c r="E215" i="2"/>
  <c r="E232" i="2"/>
  <c r="E131" i="2"/>
  <c r="E2" i="2"/>
  <c r="E119" i="2"/>
  <c r="E95" i="2"/>
  <c r="E78" i="2"/>
  <c r="E54" i="2"/>
  <c r="E130" i="2"/>
  <c r="E249" i="2"/>
  <c r="E255" i="2"/>
  <c r="E51" i="2"/>
  <c r="E52" i="2"/>
  <c r="E129" i="2"/>
  <c r="E107" i="2"/>
  <c r="E223" i="2"/>
  <c r="E154" i="2"/>
  <c r="E113" i="2"/>
  <c r="E143" i="2"/>
  <c r="E4" i="2"/>
  <c r="E201" i="2"/>
  <c r="E10" i="2"/>
  <c r="E69" i="2"/>
  <c r="E205" i="2"/>
  <c r="E236" i="2"/>
  <c r="E302" i="2"/>
  <c r="E184" i="2"/>
  <c r="E70" i="2"/>
  <c r="E206" i="2"/>
  <c r="E116" i="2"/>
  <c r="E193" i="2"/>
  <c r="E272" i="2"/>
  <c r="E167" i="2"/>
  <c r="E163" i="2"/>
  <c r="E50" i="2"/>
  <c r="E65" i="2"/>
  <c r="E262" i="2"/>
  <c r="E243" i="2"/>
  <c r="E153" i="2"/>
  <c r="E67" i="2"/>
  <c r="E233" i="2"/>
  <c r="E120" i="2"/>
  <c r="E209" i="2"/>
  <c r="E297" i="2"/>
  <c r="E38" i="2"/>
  <c r="E222" i="2"/>
  <c r="E284" i="2"/>
  <c r="E244" i="2"/>
  <c r="E12" i="2"/>
  <c r="E31" i="2"/>
  <c r="E207" i="2"/>
  <c r="E26" i="2"/>
  <c r="E145" i="2"/>
  <c r="E257" i="2"/>
  <c r="E13" i="2"/>
  <c r="E148" i="2"/>
  <c r="E34" i="2"/>
  <c r="E195" i="2"/>
  <c r="E213" i="2"/>
  <c r="E15" i="2"/>
  <c r="E81" i="2"/>
  <c r="E241" i="2"/>
  <c r="E17" i="2"/>
  <c r="E214" i="2"/>
  <c r="E171" i="2"/>
  <c r="E260" i="2"/>
  <c r="E110" i="2"/>
  <c r="E117" i="2"/>
  <c r="E90" i="2"/>
  <c r="E217" i="2"/>
  <c r="E63" i="2"/>
  <c r="E111" i="2"/>
  <c r="E155" i="2"/>
  <c r="E281" i="2"/>
  <c r="E76" i="2"/>
  <c r="E102" i="2"/>
  <c r="E242" i="2"/>
  <c r="E292" i="2"/>
  <c r="E178" i="2"/>
  <c r="E16" i="2"/>
  <c r="E46" i="2"/>
  <c r="E44" i="2"/>
  <c r="E225" i="2"/>
  <c r="E234" i="2"/>
  <c r="E161" i="2"/>
  <c r="E47" i="2"/>
  <c r="E87" i="2"/>
  <c r="E105" i="2"/>
  <c r="E277" i="2"/>
  <c r="E140" i="2"/>
  <c r="E289" i="2"/>
  <c r="E211" i="2"/>
  <c r="E199" i="2"/>
  <c r="E28" i="2"/>
  <c r="E273" i="2"/>
  <c r="E32" i="2"/>
  <c r="E246" i="2"/>
  <c r="E144" i="2"/>
  <c r="E125" i="2"/>
  <c r="E11" i="2"/>
  <c r="E160" i="2"/>
  <c r="E190" i="2"/>
  <c r="E191" i="2"/>
  <c r="E58" i="2"/>
  <c r="E122" i="2"/>
  <c r="E6" i="2"/>
  <c r="E48" i="2"/>
  <c r="E231" i="2"/>
  <c r="E159" i="2"/>
  <c r="E198" i="2"/>
  <c r="E202" i="2"/>
  <c r="E61" i="2"/>
  <c r="E101" i="2"/>
  <c r="E227" i="2"/>
  <c r="E226" i="2"/>
  <c r="B83" i="1" l="1"/>
  <c r="B77" i="1" s="1"/>
  <c r="B79" i="1" s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<sst xmlns="http://schemas.openxmlformats.org/spreadsheetml/2006/main" count="283" uniqueCount="220">
  <si>
    <t>reference_temp</t>
  </si>
  <si>
    <t>Value</t>
  </si>
  <si>
    <t>Units</t>
  </si>
  <si>
    <t>oC</t>
  </si>
  <si>
    <t>reference_pressure</t>
  </si>
  <si>
    <t>Pa</t>
  </si>
  <si>
    <t>stefan_boltzmann_constant</t>
  </si>
  <si>
    <t>W/m^2/K^4</t>
  </si>
  <si>
    <t>K</t>
  </si>
  <si>
    <t>Source</t>
  </si>
  <si>
    <t>Notes</t>
  </si>
  <si>
    <t>ground_temperature</t>
  </si>
  <si>
    <t>https://www.calctool.org/atmospheric-thermodynamics/air-density</t>
  </si>
  <si>
    <t>P = Pa, T = K</t>
  </si>
  <si>
    <t>kg/m3</t>
  </si>
  <si>
    <t>density_air</t>
  </si>
  <si>
    <t>Variables</t>
  </si>
  <si>
    <t>Symbol</t>
  </si>
  <si>
    <t>T</t>
  </si>
  <si>
    <t>dynamic_viscosity_air</t>
  </si>
  <si>
    <t>https://www.omnicalculator.com/physics/kinematic-viscosity-of-air</t>
  </si>
  <si>
    <t>T = K</t>
  </si>
  <si>
    <t>Pa*s; kg/m/s</t>
  </si>
  <si>
    <t>thermal_conductivity_air</t>
  </si>
  <si>
    <t>specific_heat_capacity_air</t>
  </si>
  <si>
    <t>prandtl_air</t>
  </si>
  <si>
    <t>emissivity_air</t>
  </si>
  <si>
    <t>AIR PROPERTIES</t>
  </si>
  <si>
    <t>WATER PROPERTIES</t>
  </si>
  <si>
    <t>density_water_20degC</t>
  </si>
  <si>
    <t>https://www.engineeringtoolbox.com/fluid-density-temperature-pressure-d_309.html#:~:text=%CF%811%20=%20%CF%811(from,Work%2C%20heat%20and%20energy%20systems.</t>
  </si>
  <si>
    <t>expansion_coefficient_water</t>
  </si>
  <si>
    <t>density_water</t>
  </si>
  <si>
    <t>1/oC</t>
  </si>
  <si>
    <t>dynamic_viscosity_water</t>
  </si>
  <si>
    <t>https://www.engineersedge.com/physics/water__density_viscosity_specific_weight_13146.htm</t>
  </si>
  <si>
    <t>kg/m/hr</t>
  </si>
  <si>
    <t>specific_heat_capacity_water</t>
  </si>
  <si>
    <t>J/kg/K</t>
  </si>
  <si>
    <t>K.G. Nayar, M.H. Sharqawy, L.D. Banchik, and J.H. Lienhard V, "Thermophysical properties of seawater: A review and new correlations that include pressure dependence," Desalination, Vol. 390, pp.1-24, 2016. doi:10.1016/j.desal.2016.02.024 (preprint)</t>
  </si>
  <si>
    <t>thermal_conductivity_water</t>
  </si>
  <si>
    <t>solar reflectance of water</t>
  </si>
  <si>
    <t>https://doi.org/10.1016/0034-4257(95)00237-5</t>
  </si>
  <si>
    <t>between 0.128 and 0.142</t>
  </si>
  <si>
    <t>saturated_vapor_pressure_water_air</t>
  </si>
  <si>
    <t>https://www.engineeringtoolbox.com/water-vapor-saturation-pressure-air-d_689.html</t>
  </si>
  <si>
    <t>heat_vaporization_water</t>
  </si>
  <si>
    <t>emissivity_water</t>
  </si>
  <si>
    <t>for T = 30 oC</t>
  </si>
  <si>
    <t>https://www.engineeringtoolbox.com/water-properties-d_1573.html?vA=290&amp;units=K#</t>
  </si>
  <si>
    <t>https://journals.ametsoc.org/view/journals/apme/11/8/1520-0450_1972_011_1391_ldowse_2_0_co_2.xml</t>
  </si>
  <si>
    <t>CO2 PROPERTIES</t>
  </si>
  <si>
    <t>diffusion_coeff_co2_water</t>
  </si>
  <si>
    <t>fitted from data given in https://pubs.acs.org/doi/10.1021/je401008s</t>
  </si>
  <si>
    <t>m2/s</t>
  </si>
  <si>
    <t>m2/kg</t>
  </si>
  <si>
    <t>solubility_co2_water</t>
  </si>
  <si>
    <t>mol fraction CO2</t>
  </si>
  <si>
    <t>fitted based on data from https://srd.nist.gov/JPCRD/jpcrd427.pdf</t>
  </si>
  <si>
    <t>co2_init</t>
  </si>
  <si>
    <t>DIC_init</t>
  </si>
  <si>
    <t>g/m3</t>
  </si>
  <si>
    <t>uM</t>
  </si>
  <si>
    <t xml:space="preserve">converted from https://www.iaea.org/sites/default/files/18/07/oa-chemistry-dickson-050916.pdf </t>
  </si>
  <si>
    <t>umol/kg</t>
  </si>
  <si>
    <t>Conversion Factors</t>
  </si>
  <si>
    <t>umol to mol</t>
  </si>
  <si>
    <t>mol CO2 to g CO2</t>
  </si>
  <si>
    <t>kg to L sw</t>
  </si>
  <si>
    <t>L/kg</t>
  </si>
  <si>
    <t>g/mol CO2</t>
  </si>
  <si>
    <t>mol/umol</t>
  </si>
  <si>
    <t>L sw to m3</t>
  </si>
  <si>
    <t>m3/L</t>
  </si>
  <si>
    <t>default from https://biocycle.atmos.colostate.edu/shiny/carbonate/</t>
  </si>
  <si>
    <t>CONSTRUCTION MATERIAL PROPERTIES</t>
  </si>
  <si>
    <t>thermal_diffusivity_concrete</t>
  </si>
  <si>
    <t>thermal_conductivity_concrete</t>
  </si>
  <si>
    <t>Seider, et al. (2016). Product and Process Design Principles.</t>
  </si>
  <si>
    <t>W/m/K</t>
  </si>
  <si>
    <t>reactor temperature</t>
  </si>
  <si>
    <t>GHI</t>
  </si>
  <si>
    <t>global horizontal irradiance</t>
  </si>
  <si>
    <t>ambient temperature</t>
  </si>
  <si>
    <t>relative humidity</t>
  </si>
  <si>
    <t>wind speed</t>
  </si>
  <si>
    <t>Tamb</t>
  </si>
  <si>
    <t>RH</t>
  </si>
  <si>
    <t>WNDSPD</t>
  </si>
  <si>
    <t>W/m2</t>
  </si>
  <si>
    <t>%</t>
  </si>
  <si>
    <t>m/s</t>
  </si>
  <si>
    <t>reactor length</t>
  </si>
  <si>
    <t>L</t>
  </si>
  <si>
    <t>m</t>
  </si>
  <si>
    <t>reactor width</t>
  </si>
  <si>
    <t>W</t>
  </si>
  <si>
    <t>reactor initial liquid level</t>
  </si>
  <si>
    <t>H_o</t>
  </si>
  <si>
    <t>EVAPORATION EQUATIONS</t>
  </si>
  <si>
    <t xml:space="preserve">https://www.engineeringtoolbox.com/evaporation-water-surface-d_690.html </t>
  </si>
  <si>
    <t>WNDSPD = m/s</t>
  </si>
  <si>
    <t>evaporation_coefficient</t>
  </si>
  <si>
    <t>partial_pressure_moist_water_air</t>
  </si>
  <si>
    <t>Tamb = K, dry bulb</t>
  </si>
  <si>
    <t>P = Pa, RH = %</t>
  </si>
  <si>
    <t>ambient_humidity_ratio</t>
  </si>
  <si>
    <t>kg H2O/kg air</t>
  </si>
  <si>
    <t>surface_humidity_ratio</t>
  </si>
  <si>
    <t>kg air/m2/hr</t>
  </si>
  <si>
    <t>evaporation_mass_flux</t>
  </si>
  <si>
    <t>kg H2O/m2/hr</t>
  </si>
  <si>
    <t>evaporation_heat_flux</t>
  </si>
  <si>
    <t>J/kg</t>
  </si>
  <si>
    <t>J/m2/hr</t>
  </si>
  <si>
    <t>volumetric flow rate</t>
  </si>
  <si>
    <t>Q</t>
  </si>
  <si>
    <t>m3/hr</t>
  </si>
  <si>
    <t>initial volumetric flow rate</t>
  </si>
  <si>
    <t>FLOW AND VELOCITY PROFILES</t>
  </si>
  <si>
    <t>height</t>
  </si>
  <si>
    <t>W = m, L = m, rho = kg/m3</t>
  </si>
  <si>
    <t>Vavg</t>
  </si>
  <si>
    <t>m/hr</t>
  </si>
  <si>
    <t>initial average velocity</t>
  </si>
  <si>
    <t>*for the sake of simplicity, this is assumed to be calculated from a constant Vavg. In the model, Vavg is assumed to change based on the conservation of kinetic energy</t>
  </si>
  <si>
    <t>velocity_profile_lam</t>
  </si>
  <si>
    <t>Derived from https://ocw.mit.edu/courses/12-090-introduction-to-fluid-motions-sediment-transport-and-current-generated-sedimentary-structures-fall-2006/72c0d3ee9656652db67315787b47c7a8_ch4.pdf</t>
  </si>
  <si>
    <t>hydraulic_diameter</t>
  </si>
  <si>
    <t>reynolds_number</t>
  </si>
  <si>
    <t>*dynamic viscosity of water is kg/m/hr</t>
  </si>
  <si>
    <t>BIOMASS PROPERTIES</t>
  </si>
  <si>
    <t>max_biomass_specific_growth_rate</t>
  </si>
  <si>
    <t>hr-1</t>
  </si>
  <si>
    <t>co2_per_biomass</t>
  </si>
  <si>
    <t>kg CO2/kg algae</t>
  </si>
  <si>
    <t>biomass_diffusion_coefficient_y</t>
  </si>
  <si>
    <t>biomass_diffusion_coefficient_z</t>
  </si>
  <si>
    <t>m2/hr</t>
  </si>
  <si>
    <t>GROWTH ADJUSTMENT FACTORS</t>
  </si>
  <si>
    <t>salinity_factor</t>
  </si>
  <si>
    <t>salinity</t>
  </si>
  <si>
    <t>S</t>
  </si>
  <si>
    <t>kg/kg sw</t>
  </si>
  <si>
    <t>T_opt</t>
  </si>
  <si>
    <t>T_min</t>
  </si>
  <si>
    <t>T_max</t>
  </si>
  <si>
    <t>temperature_factor_g</t>
  </si>
  <si>
    <t>temperature_factor_f</t>
  </si>
  <si>
    <t>temperature_factor</t>
  </si>
  <si>
    <t>LIGHT PROPERTIES</t>
  </si>
  <si>
    <t>average_surface_light_intensity</t>
  </si>
  <si>
    <t>umol2s/W</t>
  </si>
  <si>
    <t>W/m2 to umol/m2/s</t>
  </si>
  <si>
    <t>*4.6 umol/m2/s per W/m2 * 0.425 of light is in the PAR range</t>
  </si>
  <si>
    <t>umol/m2/s</t>
  </si>
  <si>
    <t>average_floor_light_intensity</t>
  </si>
  <si>
    <t>biomass_concentration</t>
  </si>
  <si>
    <t>C</t>
  </si>
  <si>
    <t>input_biomass_concentration</t>
  </si>
  <si>
    <t>floor_light_intensity</t>
  </si>
  <si>
    <t>surface_light_intensity</t>
  </si>
  <si>
    <t>ABS, m2/mol</t>
  </si>
  <si>
    <t>WVLNGTH, nm</t>
  </si>
  <si>
    <t>max_biomass_yield_light</t>
  </si>
  <si>
    <t>mol bm/mol light</t>
  </si>
  <si>
    <t>absorbance_crosssection</t>
  </si>
  <si>
    <t>m2/mol</t>
  </si>
  <si>
    <t>GHI = W/m2</t>
  </si>
  <si>
    <t>C = kg/m3</t>
  </si>
  <si>
    <t>light_factor</t>
  </si>
  <si>
    <t>hr to s</t>
  </si>
  <si>
    <t>s/hr</t>
  </si>
  <si>
    <t>co2_factor</t>
  </si>
  <si>
    <t>CO2 = g/m3</t>
  </si>
  <si>
    <t>co2_concentration</t>
  </si>
  <si>
    <t>CO2</t>
  </si>
  <si>
    <t>specific_growth_rate</t>
  </si>
  <si>
    <t>HEAT FLUX TERMS</t>
  </si>
  <si>
    <t>q_solar</t>
  </si>
  <si>
    <t>J/hr/m2</t>
  </si>
  <si>
    <t>q_rerad</t>
  </si>
  <si>
    <t>q_lw_atm</t>
  </si>
  <si>
    <t>https://en.wikipedia.org/wiki/Emissivity#:~:text=Earth's%20surface%20emissivities%20(%CE%B5s,the%20most%20barren%20desert%20areas.</t>
  </si>
  <si>
    <t>*range reported from 0.65-0.99. Since desert area, lower than 0.9</t>
  </si>
  <si>
    <t>q_evap</t>
  </si>
  <si>
    <t>kinematic_viscosity_air</t>
  </si>
  <si>
    <t>Reynolds_number_air</t>
  </si>
  <si>
    <t>J/kg-K</t>
  </si>
  <si>
    <t>https://onlinelibrary.wiley.com/doi/pdf/10.1002/9780470516430.app2</t>
  </si>
  <si>
    <t>J/m-s-K</t>
  </si>
  <si>
    <t>Nusselt_number_air</t>
  </si>
  <si>
    <t>convection_coefficient_air</t>
  </si>
  <si>
    <t>J/m2-s-K</t>
  </si>
  <si>
    <t>q_conv</t>
  </si>
  <si>
    <t>q_ground</t>
  </si>
  <si>
    <t>constant_ground_depth</t>
  </si>
  <si>
    <t>Universal Temperature Model for Shallow Algal Ponds Provides Improved Accuracy | Environmental Science &amp; Technology</t>
  </si>
  <si>
    <t>sum_surface_flux</t>
  </si>
  <si>
    <t>co2_uptake_rate</t>
  </si>
  <si>
    <t>kg to g</t>
  </si>
  <si>
    <t>g/kg</t>
  </si>
  <si>
    <t>g/m3/hr</t>
  </si>
  <si>
    <t>https://doi.org/10.1038/s41598-021-91106-5</t>
  </si>
  <si>
    <t>2-deg polynomial fitting of data from https://doi.org/10.1038/s41598-021-91106-5</t>
  </si>
  <si>
    <t>Approximated from data from https://doi.org/10.1038/s41598-021-91106-5</t>
  </si>
  <si>
    <t>Approximated from data from https://doi.org/10.1038/s41598-021-91106-6</t>
  </si>
  <si>
    <t>Approximated from data from https://doi.org/10.1038/s41598-021-91106-7</t>
  </si>
  <si>
    <t>https://doi.org/10.1016/j.algal.2021.102224</t>
  </si>
  <si>
    <t>https://doi.org/10.1016/j.algal.2021.102225</t>
  </si>
  <si>
    <t>https://doi.org/10.1016/j.algal.2021.102226</t>
  </si>
  <si>
    <t>https://doi.org/10.1002/bit.28052</t>
  </si>
  <si>
    <t>experimental data (Bell, et al.)</t>
  </si>
  <si>
    <t>https://doi.org/10.1002/bit.28053</t>
  </si>
  <si>
    <t>https://doi.org/10.1002/bit.28054</t>
  </si>
  <si>
    <t>https://doi.org/10.1002/bit.28055</t>
  </si>
  <si>
    <t>J/hr-m-K</t>
  </si>
  <si>
    <t>PARAMETERS/EQUATIONS</t>
  </si>
  <si>
    <t>T_grd</t>
  </si>
  <si>
    <t>REFERENCE CONSTANTS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</si>
</sst>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</cellStyleXfs>
  <cellXfs count="4">
    <xf numFmtId="0" fontId="0" fillId="0" borderId="0" xfId="0"/>
    <xf numFmtId="11" fontId="0" fillId="0" borderId="0" xfId="0" applyNumberFormat="1"/>
    <xf numFmtId="0" fontId="1" fillId="0" borderId="0" xfId="1"/>
    <xf numFmtId="0" fontId="2" fillId="2" borderId="1" xfId="2"/>
  </cellXfs>
  <cellStyles count="3">
    <cellStyle name="Check Cell" xfId="2" builtinId="2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A3C757-5AEB-4E1C-B994-AC92FC5E5DA6}" name="Table1" displayName="Table1" ref="A1:E94" totalsRowShown="0">
  <autoFilter ref="A1:E94" xr:uid="{C3A3C757-5AEB-4E1C-B994-AC92FC5E5DA6}"/>
  <tableColumns count="5">
    <tableColumn id="1" xr3:uid="{0AC262A8-FD15-41AE-BEB9-49B5DE439DF0}" name="PARAMETERS/EQUATIONS"/>
    <tableColumn id="2" xr3:uid="{4610D667-EE1A-4FC9-A41B-FFCCB42D612B}" name="Value"/>
    <tableColumn id="3" xr3:uid="{E7663D24-A6CD-47A3-AC5F-AC9CCCEAA092}" name="Units"/>
    <tableColumn id="4" xr3:uid="{3E2A8BF5-638F-4AE5-9813-99A4E2370F87}" name="Source" dataCellStyle="Hyperlink"/>
    <tableColumn id="5" xr3:uid="{31032FE5-6777-4627-B32B-100028EF09CC}" name="Not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E1314A-F451-40FC-9D71-117E9866285E}" name="Table2" displayName="Table2" ref="G1:J15" totalsRowShown="0">
  <autoFilter ref="G1:J15" xr:uid="{FEE1314A-F451-40FC-9D71-117E9866285E}"/>
  <tableColumns count="4">
    <tableColumn id="1" xr3:uid="{01ABC49D-442D-48B0-8A90-3CE17E3AD6F0}" name="Variables"/>
    <tableColumn id="2" xr3:uid="{710ED0CD-26E4-4BE3-A9F6-E93C9E716ED6}" name="Symbol"/>
    <tableColumn id="3" xr3:uid="{E3FCFB5A-92E3-4AD5-8116-7CF8CB8FD3B9}" name="Units"/>
    <tableColumn id="4" xr3:uid="{08770F42-C21E-4182-8FE5-70C9BDB58C9E}" name="Value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C491B0C-6780-4A02-B274-845D6CD3014C}" name="Table3" displayName="Table3" ref="L1:N8" totalsRowShown="0">
  <autoFilter ref="L1:N8" xr:uid="{8C491B0C-6780-4A02-B274-845D6CD3014C}"/>
  <tableColumns count="3">
    <tableColumn id="1" xr3:uid="{06565D44-2D33-4A4A-93E7-C96331DC8B8F}" name="Conversion Factors"/>
    <tableColumn id="2" xr3:uid="{5DB5E3D1-77FB-48B4-9949-2C03AEB00AAF}" name="Value"/>
    <tableColumn id="3" xr3:uid="{44F50C53-D78C-4DC8-92B1-D0088BCAE8B4}" name="Uni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doi.org/10.1038/s41598-021-91106-5" TargetMode="External"/><Relationship Id="rId13" Type="http://schemas.openxmlformats.org/officeDocument/2006/relationships/hyperlink" Target="https://doi.org/10.1002/bit.28052" TargetMode="External"/><Relationship Id="rId3" Type="http://schemas.openxmlformats.org/officeDocument/2006/relationships/hyperlink" Target="https://pubs.acs.org/doi/10.1021/es1040706" TargetMode="External"/><Relationship Id="rId7" Type="http://schemas.openxmlformats.org/officeDocument/2006/relationships/hyperlink" Target="https://doi.org/10.1038/s41598-021-91106-5" TargetMode="External"/><Relationship Id="rId12" Type="http://schemas.openxmlformats.org/officeDocument/2006/relationships/hyperlink" Target="https://doi.org/10.1002/bit.28052" TargetMode="External"/><Relationship Id="rId17" Type="http://schemas.openxmlformats.org/officeDocument/2006/relationships/table" Target="../tables/table3.xml"/><Relationship Id="rId2" Type="http://schemas.openxmlformats.org/officeDocument/2006/relationships/hyperlink" Target="https://pubs.acs.org/doi/10.1021/je401008s" TargetMode="External"/><Relationship Id="rId16" Type="http://schemas.openxmlformats.org/officeDocument/2006/relationships/table" Target="../tables/table2.xml"/><Relationship Id="rId1" Type="http://schemas.openxmlformats.org/officeDocument/2006/relationships/hyperlink" Target="https://doi.org/10.1016/0034-4257(95)00237-5" TargetMode="External"/><Relationship Id="rId6" Type="http://schemas.openxmlformats.org/officeDocument/2006/relationships/hyperlink" Target="https://doi.org/10.1038/s41598-021-91106-5" TargetMode="External"/><Relationship Id="rId11" Type="http://schemas.openxmlformats.org/officeDocument/2006/relationships/hyperlink" Target="https://doi.org/10.1002/bit.28052" TargetMode="External"/><Relationship Id="rId5" Type="http://schemas.openxmlformats.org/officeDocument/2006/relationships/hyperlink" Target="https://pubs.acs.org/doi/10.1021/es1040706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https://doi.org/10.1016/j.algal.2021.102224" TargetMode="External"/><Relationship Id="rId4" Type="http://schemas.openxmlformats.org/officeDocument/2006/relationships/hyperlink" Target="https://pubs.acs.org/doi/10.1021/es1040706" TargetMode="External"/><Relationship Id="rId9" Type="http://schemas.openxmlformats.org/officeDocument/2006/relationships/hyperlink" Target="https://doi.org/10.1016/j.algal.2021.102224" TargetMode="External"/><Relationship Id="rId14" Type="http://schemas.openxmlformats.org/officeDocument/2006/relationships/hyperlink" Target="https://doi.org/10.1002/bit.2805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48DE-7B2F-4A6B-8190-AD5FBAC6CC9C}">
  <sheetPr codeName="Sheet1"/>
  <dimension ref="A1:O94"/>
  <sheetViews>
    <sheetView tabSelected="1" workbookViewId="0">
      <selection activeCell="M16" sqref="M16"/>
    </sheetView>
  </sheetViews>
  <sheetFormatPr defaultRowHeight="15" x14ac:dyDescent="0.25"/>
  <cols>
    <col min="1" max="1" width="24.140625" customWidth="1"/>
    <col min="2" max="2" width="12" bestFit="1" customWidth="1"/>
    <col min="5" max="6" width="9.140625" customWidth="1"/>
    <col min="7" max="7" width="12.28515625" customWidth="1"/>
    <col min="8" max="8" width="9.5703125" customWidth="1"/>
    <col min="12" max="12" width="20" customWidth="1"/>
    <col min="13" max="13" width="18.5703125" customWidth="1"/>
  </cols>
  <sheetData>
    <row r="1" spans="1:15" x14ac:dyDescent="0.25">
      <c r="A1" t="s">
        <v>217</v>
      </c>
      <c r="B1" t="s">
        <v>1</v>
      </c>
      <c r="C1" t="s">
        <v>2</v>
      </c>
      <c r="D1" t="s">
        <v>9</v>
      </c>
      <c r="E1" t="s">
        <v>10</v>
      </c>
      <c r="G1" t="s">
        <v>16</v>
      </c>
      <c r="H1" t="s">
        <v>17</v>
      </c>
      <c r="I1" t="s">
        <v>2</v>
      </c>
      <c r="J1" t="s">
        <v>1</v>
      </c>
      <c r="L1" t="s">
        <v>65</v>
      </c>
      <c r="M1" t="s">
        <v>1</v>
      </c>
      <c r="N1" t="s">
        <v>2</v>
      </c>
    </row>
    <row r="2" spans="1:15" ht="15.75" thickBot="1" x14ac:dyDescent="0.3">
      <c r="D2" s="2"/>
      <c r="G2" t="s">
        <v>80</v>
      </c>
      <c r="H2" t="s">
        <v>18</v>
      </c>
      <c r="I2" t="s">
        <v>8</v>
      </c>
      <c r="J2">
        <f>25+273</f>
        <v>298</v>
      </c>
      <c r="L2" t="s">
        <v>66</v>
      </c>
      <c r="M2">
        <f>1/(1000000)</f>
        <v>9.9999999999999995E-7</v>
      </c>
      <c r="N2" t="s">
        <v>71</v>
      </c>
    </row>
    <row r="3" spans="1:15" ht="16.5" thickTop="1" thickBot="1" x14ac:dyDescent="0.3">
      <c r="A3" s="3" t="s">
        <v>219</v>
      </c>
      <c r="B3" s="3"/>
      <c r="C3" s="3"/>
      <c r="D3" s="3"/>
      <c r="E3" s="3"/>
      <c r="G3" t="s">
        <v>82</v>
      </c>
      <c r="H3" t="s">
        <v>81</v>
      </c>
      <c r="I3" t="s">
        <v>89</v>
      </c>
      <c r="J3">
        <v>500</v>
      </c>
      <c r="L3" t="s">
        <v>67</v>
      </c>
      <c r="M3">
        <f>44.01</f>
        <v>44.01</v>
      </c>
      <c r="N3" t="s">
        <v>70</v>
      </c>
    </row>
    <row r="4" spans="1:15" ht="15.75" thickTop="1" x14ac:dyDescent="0.25">
      <c r="A4" t="s">
        <v>0</v>
      </c>
      <c r="B4">
        <v>20</v>
      </c>
      <c r="C4" t="s">
        <v>3</v>
      </c>
      <c r="G4" t="s">
        <v>83</v>
      </c>
      <c r="H4" t="s">
        <v>86</v>
      </c>
      <c r="I4" t="s">
        <v>3</v>
      </c>
      <c r="J4">
        <f>20+273</f>
        <v>293</v>
      </c>
      <c r="L4" t="s">
        <v>68</v>
      </c>
      <c r="M4">
        <f>1/1.03</f>
        <v>0.970873786407767</v>
      </c>
      <c r="N4" t="s">
        <v>69</v>
      </c>
    </row>
    <row r="5" spans="1:15" x14ac:dyDescent="0.25">
      <c r="A5" t="s">
        <v>4</v>
      </c>
      <c r="B5">
        <v>101315</v>
      </c>
      <c r="C5" t="s">
        <v>5</v>
      </c>
      <c r="G5" t="s">
        <v>84</v>
      </c>
      <c r="H5" t="s">
        <v>87</v>
      </c>
      <c r="I5" t="s">
        <v>90</v>
      </c>
      <c r="J5">
        <v>44</v>
      </c>
      <c r="L5" t="s">
        <v>72</v>
      </c>
      <c r="M5">
        <f>1/1000</f>
        <v>1E-3</v>
      </c>
      <c r="N5" t="s">
        <v>73</v>
      </c>
    </row>
    <row r="6" spans="1:15" x14ac:dyDescent="0.25">
      <c r="A6" t="s">
        <v>6</v>
      </c>
      <c r="B6" s="1">
        <v>5.6703744000000001E-8</v>
      </c>
      <c r="C6" t="s">
        <v>7</v>
      </c>
      <c r="G6" t="s">
        <v>85</v>
      </c>
      <c r="H6" t="s">
        <v>88</v>
      </c>
      <c r="I6" t="s">
        <v>91</v>
      </c>
      <c r="J6">
        <v>3.1</v>
      </c>
      <c r="L6" t="s">
        <v>153</v>
      </c>
      <c r="M6">
        <f>0.425*4.6</f>
        <v>1.9549999999999998</v>
      </c>
      <c r="N6" t="s">
        <v>152</v>
      </c>
      <c r="O6" t="s">
        <v>154</v>
      </c>
    </row>
    <row r="7" spans="1:15" ht="15.75" thickBot="1" x14ac:dyDescent="0.3">
      <c r="G7" t="s">
        <v>92</v>
      </c>
      <c r="H7" t="s">
        <v>93</v>
      </c>
      <c r="I7" t="s">
        <v>94</v>
      </c>
      <c r="J7">
        <v>200</v>
      </c>
      <c r="L7" t="s">
        <v>171</v>
      </c>
      <c r="M7">
        <v>3600</v>
      </c>
      <c r="N7" t="s">
        <v>172</v>
      </c>
    </row>
    <row r="8" spans="1:15" ht="16.5" thickTop="1" thickBot="1" x14ac:dyDescent="0.3">
      <c r="A8" s="3" t="s">
        <v>27</v>
      </c>
      <c r="B8" s="3"/>
      <c r="C8" s="3"/>
      <c r="D8" s="3"/>
      <c r="E8" s="3"/>
      <c r="G8" t="s">
        <v>95</v>
      </c>
      <c r="H8" t="s">
        <v>96</v>
      </c>
      <c r="I8" t="s">
        <v>94</v>
      </c>
      <c r="J8">
        <v>0.5</v>
      </c>
      <c r="L8" t="s">
        <v>200</v>
      </c>
      <c r="M8">
        <v>1000</v>
      </c>
      <c r="N8" t="s">
        <v>201</v>
      </c>
    </row>
    <row r="9" spans="1:15" ht="15.75" thickTop="1" x14ac:dyDescent="0.25">
      <c r="A9" t="s">
        <v>15</v>
      </c>
      <c r="B9">
        <f>B5/(287.058*J2)</f>
        <v>1.1843711775199091</v>
      </c>
      <c r="C9" t="s">
        <v>14</v>
      </c>
      <c r="D9" t="s">
        <v>12</v>
      </c>
      <c r="E9" t="s">
        <v>13</v>
      </c>
      <c r="G9" t="s">
        <v>97</v>
      </c>
      <c r="H9" t="s">
        <v>98</v>
      </c>
      <c r="I9" t="s">
        <v>94</v>
      </c>
      <c r="J9">
        <v>0.15</v>
      </c>
    </row>
    <row r="10" spans="1:15" x14ac:dyDescent="0.25">
      <c r="A10" t="s">
        <v>19</v>
      </c>
      <c r="B10">
        <f>(1.458*0.00001*(J2)^1.5)/(J2+110.4)</f>
        <v>1.8365222177118285E-4</v>
      </c>
      <c r="C10" t="s">
        <v>22</v>
      </c>
      <c r="D10" t="s">
        <v>20</v>
      </c>
      <c r="E10" t="s">
        <v>21</v>
      </c>
      <c r="G10" t="s">
        <v>118</v>
      </c>
      <c r="H10" t="s">
        <v>116</v>
      </c>
      <c r="I10" t="s">
        <v>117</v>
      </c>
      <c r="J10">
        <v>10</v>
      </c>
    </row>
    <row r="11" spans="1:15" x14ac:dyDescent="0.25">
      <c r="A11" t="s">
        <v>23</v>
      </c>
      <c r="B11">
        <f>0.02624*(J4/300)^(0.8646)</f>
        <v>2.5709790540621825E-2</v>
      </c>
      <c r="C11" t="s">
        <v>190</v>
      </c>
      <c r="D11" t="s">
        <v>189</v>
      </c>
      <c r="G11" t="s">
        <v>124</v>
      </c>
      <c r="H11" t="s">
        <v>122</v>
      </c>
      <c r="I11" t="s">
        <v>123</v>
      </c>
      <c r="J11">
        <f>J10/(J8*J9)</f>
        <v>133.33333333333334</v>
      </c>
    </row>
    <row r="12" spans="1:15" x14ac:dyDescent="0.25">
      <c r="A12" t="s">
        <v>24</v>
      </c>
      <c r="B12">
        <f>1002.5 + (275*0.00001)*(J4-200)^2</f>
        <v>1026.28475</v>
      </c>
      <c r="C12" t="s">
        <v>188</v>
      </c>
      <c r="D12" t="s">
        <v>189</v>
      </c>
      <c r="G12" t="s">
        <v>141</v>
      </c>
      <c r="H12" t="s">
        <v>142</v>
      </c>
      <c r="I12" t="s">
        <v>143</v>
      </c>
      <c r="J12">
        <v>15</v>
      </c>
    </row>
    <row r="13" spans="1:15" x14ac:dyDescent="0.25">
      <c r="A13" t="s">
        <v>25</v>
      </c>
      <c r="B13">
        <f>(B12*B10)/B11</f>
        <v>7.3310388977919825</v>
      </c>
      <c r="G13" t="s">
        <v>157</v>
      </c>
      <c r="H13" t="s">
        <v>158</v>
      </c>
      <c r="I13" t="s">
        <v>14</v>
      </c>
      <c r="J13">
        <v>1</v>
      </c>
    </row>
    <row r="14" spans="1:15" x14ac:dyDescent="0.25">
      <c r="A14" t="s">
        <v>26</v>
      </c>
      <c r="B14">
        <v>0.8</v>
      </c>
      <c r="D14" t="s">
        <v>183</v>
      </c>
      <c r="E14" t="s">
        <v>184</v>
      </c>
      <c r="G14" t="s">
        <v>175</v>
      </c>
      <c r="H14" t="s">
        <v>176</v>
      </c>
      <c r="I14" t="s">
        <v>61</v>
      </c>
      <c r="J14">
        <v>10</v>
      </c>
    </row>
    <row r="15" spans="1:15" x14ac:dyDescent="0.25">
      <c r="A15" t="s">
        <v>186</v>
      </c>
      <c r="B15">
        <f>B10/B9</f>
        <v>1.5506306237184303E-4</v>
      </c>
      <c r="C15" t="s">
        <v>54</v>
      </c>
      <c r="G15" t="s">
        <v>11</v>
      </c>
      <c r="H15" t="s">
        <v>218</v>
      </c>
      <c r="I15" t="s">
        <v>8</v>
      </c>
      <c r="J15">
        <v>290</v>
      </c>
    </row>
    <row r="16" spans="1:15" x14ac:dyDescent="0.25">
      <c r="A16" t="s">
        <v>187</v>
      </c>
      <c r="B16">
        <f>(J7*J6)/B15</f>
        <v>3998373.2458039089</v>
      </c>
    </row>
    <row r="17" spans="1:5" x14ac:dyDescent="0.25">
      <c r="A17" t="s">
        <v>191</v>
      </c>
      <c r="B17">
        <f>0.035*(B16^0.8)*B13^(1/3)</f>
        <v>13000.594681730043</v>
      </c>
    </row>
    <row r="18" spans="1:5" x14ac:dyDescent="0.25">
      <c r="A18" t="s">
        <v>192</v>
      </c>
      <c r="B18">
        <f>(B17*B11)/J7</f>
        <v>1.6712128308540073</v>
      </c>
      <c r="C18" t="s">
        <v>193</v>
      </c>
    </row>
    <row r="19" spans="1:5" ht="15.75" thickBot="1" x14ac:dyDescent="0.3"/>
    <row r="20" spans="1:5" ht="16.5" thickTop="1" thickBot="1" x14ac:dyDescent="0.3">
      <c r="A20" s="3" t="s">
        <v>28</v>
      </c>
      <c r="B20" s="3"/>
      <c r="C20" s="3"/>
      <c r="D20" s="3"/>
      <c r="E20" s="3"/>
    </row>
    <row r="21" spans="1:5" ht="15.75" thickTop="1" x14ac:dyDescent="0.25">
      <c r="A21" t="s">
        <v>29</v>
      </c>
      <c r="B21">
        <v>998.20709999999997</v>
      </c>
      <c r="C21" t="s">
        <v>14</v>
      </c>
      <c r="D21" t="s">
        <v>30</v>
      </c>
    </row>
    <row r="22" spans="1:5" x14ac:dyDescent="0.25">
      <c r="A22" t="s">
        <v>31</v>
      </c>
      <c r="B22">
        <v>2.0000000000000001E-4</v>
      </c>
      <c r="C22" t="s">
        <v>33</v>
      </c>
      <c r="D22" t="s">
        <v>30</v>
      </c>
    </row>
    <row r="23" spans="1:5" x14ac:dyDescent="0.25">
      <c r="A23" t="s">
        <v>32</v>
      </c>
      <c r="B23">
        <f>B21/(1+B22*(J2-(B4+273)))</f>
        <v>997.20989010989024</v>
      </c>
      <c r="C23" t="s">
        <v>14</v>
      </c>
      <c r="D23" t="s">
        <v>30</v>
      </c>
      <c r="E23" t="s">
        <v>21</v>
      </c>
    </row>
    <row r="24" spans="1:5" x14ac:dyDescent="0.25">
      <c r="A24" t="s">
        <v>34</v>
      </c>
      <c r="B24">
        <f>2.414*0.0001*10^(247.8/(J2-140))</f>
        <v>8.9349411452905505E-3</v>
      </c>
      <c r="C24" t="s">
        <v>22</v>
      </c>
      <c r="D24" t="s">
        <v>35</v>
      </c>
      <c r="E24" t="s">
        <v>21</v>
      </c>
    </row>
    <row r="25" spans="1:5" x14ac:dyDescent="0.25">
      <c r="B25">
        <f>B24*3600</f>
        <v>32.165788123045985</v>
      </c>
      <c r="C25" t="s">
        <v>36</v>
      </c>
    </row>
    <row r="26" spans="1:5" x14ac:dyDescent="0.25">
      <c r="A26" t="s">
        <v>37</v>
      </c>
      <c r="B26">
        <f>1000*(5.328-6.913*(10^-3)*J2+9.6*(10^-6)*J2^2+2.5*(10^-9)*J2^3)</f>
        <v>4186.6033800000005</v>
      </c>
      <c r="C26" t="s">
        <v>38</v>
      </c>
      <c r="D26" t="s">
        <v>39</v>
      </c>
      <c r="E26" t="s">
        <v>21</v>
      </c>
    </row>
    <row r="27" spans="1:5" x14ac:dyDescent="0.25">
      <c r="A27" t="s">
        <v>40</v>
      </c>
      <c r="B27">
        <f>(0.565464+0.001756*J2-0.00000646*J2^2)*M7</f>
        <v>1854.2813759999999</v>
      </c>
      <c r="C27" t="s">
        <v>216</v>
      </c>
    </row>
    <row r="28" spans="1:5" x14ac:dyDescent="0.25">
      <c r="A28" t="s">
        <v>41</v>
      </c>
      <c r="B28">
        <v>0.13569999999999999</v>
      </c>
      <c r="D28" s="2" t="s">
        <v>42</v>
      </c>
      <c r="E28" t="s">
        <v>43</v>
      </c>
    </row>
    <row r="29" spans="1:5" x14ac:dyDescent="0.25">
      <c r="A29" t="s">
        <v>44</v>
      </c>
      <c r="B29">
        <f>EXP(77.345+0.0057*J4-7235/J4)/(J4^8.2)</f>
        <v>2309.6513041908702</v>
      </c>
      <c r="C29" t="s">
        <v>5</v>
      </c>
      <c r="D29" t="s">
        <v>45</v>
      </c>
      <c r="E29" t="s">
        <v>104</v>
      </c>
    </row>
    <row r="30" spans="1:5" x14ac:dyDescent="0.25">
      <c r="A30" t="s">
        <v>46</v>
      </c>
      <c r="B30">
        <v>2429800</v>
      </c>
      <c r="C30" t="s">
        <v>113</v>
      </c>
      <c r="D30" t="s">
        <v>49</v>
      </c>
      <c r="E30" t="s">
        <v>48</v>
      </c>
    </row>
    <row r="31" spans="1:5" x14ac:dyDescent="0.25">
      <c r="A31" t="s">
        <v>47</v>
      </c>
      <c r="B31">
        <v>0.97</v>
      </c>
      <c r="D31" t="s">
        <v>50</v>
      </c>
    </row>
    <row r="32" spans="1:5" ht="15.75" thickBot="1" x14ac:dyDescent="0.3"/>
    <row r="33" spans="1:5" ht="16.5" thickTop="1" thickBot="1" x14ac:dyDescent="0.3">
      <c r="A33" s="3" t="s">
        <v>51</v>
      </c>
      <c r="B33" s="3"/>
      <c r="C33" s="3"/>
      <c r="D33" s="3"/>
      <c r="E33" s="3"/>
    </row>
    <row r="34" spans="1:5" ht="15.75" thickTop="1" x14ac:dyDescent="0.25">
      <c r="A34" t="s">
        <v>52</v>
      </c>
      <c r="B34">
        <f>0.000000013942*((J2/227)-1)^1.7094</f>
        <v>1.911945459767055E-9</v>
      </c>
      <c r="C34" t="s">
        <v>54</v>
      </c>
      <c r="D34" s="2" t="s">
        <v>53</v>
      </c>
      <c r="E34" t="s">
        <v>21</v>
      </c>
    </row>
    <row r="35" spans="1:5" x14ac:dyDescent="0.25">
      <c r="B35">
        <f>B34*3600</f>
        <v>6.8830036551613981E-6</v>
      </c>
      <c r="C35" t="s">
        <v>55</v>
      </c>
    </row>
    <row r="36" spans="1:5" x14ac:dyDescent="0.25">
      <c r="A36" t="s">
        <v>56</v>
      </c>
      <c r="B36">
        <f>(0.00025989*(J2-273.15)^2-0.03372247*(J2-273.15)+1.31249)/1000</f>
        <v>6.349745430249996E-4</v>
      </c>
      <c r="C36" t="s">
        <v>57</v>
      </c>
      <c r="D36" t="s">
        <v>58</v>
      </c>
      <c r="E36" t="s">
        <v>21</v>
      </c>
    </row>
    <row r="37" spans="1:5" x14ac:dyDescent="0.25">
      <c r="A37" t="s">
        <v>59</v>
      </c>
      <c r="B37">
        <v>15.5</v>
      </c>
      <c r="C37" t="s">
        <v>64</v>
      </c>
      <c r="D37" t="s">
        <v>63</v>
      </c>
    </row>
    <row r="38" spans="1:5" x14ac:dyDescent="0.25">
      <c r="B38">
        <f>(B37*M2*M3)/(M4*M5)</f>
        <v>0.70261965000000004</v>
      </c>
      <c r="C38" t="s">
        <v>61</v>
      </c>
    </row>
    <row r="39" spans="1:5" x14ac:dyDescent="0.25">
      <c r="A39" t="s">
        <v>60</v>
      </c>
      <c r="B39">
        <v>2002</v>
      </c>
      <c r="C39" t="s">
        <v>62</v>
      </c>
      <c r="D39" t="s">
        <v>74</v>
      </c>
    </row>
    <row r="40" spans="1:5" x14ac:dyDescent="0.25">
      <c r="A40" t="s">
        <v>199</v>
      </c>
      <c r="B40">
        <f>B65*B79*J13*M8</f>
        <v>240.64219298970443</v>
      </c>
      <c r="C40" t="s">
        <v>202</v>
      </c>
      <c r="E40" t="s">
        <v>169</v>
      </c>
    </row>
    <row r="41" spans="1:5" ht="15.75" thickBot="1" x14ac:dyDescent="0.3"/>
    <row r="42" spans="1:5" ht="16.5" thickTop="1" thickBot="1" x14ac:dyDescent="0.3">
      <c r="A42" s="3" t="s">
        <v>75</v>
      </c>
      <c r="B42" s="3"/>
      <c r="C42" s="3"/>
      <c r="D42" s="3"/>
      <c r="E42" s="3"/>
    </row>
    <row r="43" spans="1:5" ht="15.75" thickTop="1" x14ac:dyDescent="0.25">
      <c r="A43" t="s">
        <v>76</v>
      </c>
      <c r="B43" s="1">
        <v>1.01183E-6</v>
      </c>
      <c r="C43" t="s">
        <v>54</v>
      </c>
      <c r="D43" t="s">
        <v>78</v>
      </c>
    </row>
    <row r="44" spans="1:5" x14ac:dyDescent="0.25">
      <c r="A44" t="s">
        <v>77</v>
      </c>
      <c r="B44">
        <v>1.3</v>
      </c>
      <c r="C44" t="s">
        <v>79</v>
      </c>
      <c r="D44" t="s">
        <v>78</v>
      </c>
    </row>
    <row r="45" spans="1:5" x14ac:dyDescent="0.25">
      <c r="A45" t="s">
        <v>196</v>
      </c>
      <c r="B45" s="1">
        <f>4400*(B43)^(1/2)</f>
        <v>4.4259494800550989</v>
      </c>
      <c r="C45" t="s">
        <v>94</v>
      </c>
      <c r="D45" s="2" t="s">
        <v>197</v>
      </c>
    </row>
    <row r="46" spans="1:5" ht="15.75" thickBot="1" x14ac:dyDescent="0.3"/>
    <row r="47" spans="1:5" ht="16.5" thickTop="1" thickBot="1" x14ac:dyDescent="0.3">
      <c r="A47" s="3" t="s">
        <v>99</v>
      </c>
      <c r="B47" s="3"/>
      <c r="C47" s="3"/>
      <c r="D47" s="3"/>
      <c r="E47" s="3"/>
    </row>
    <row r="48" spans="1:5" ht="15.75" thickTop="1" x14ac:dyDescent="0.25">
      <c r="A48" t="s">
        <v>102</v>
      </c>
      <c r="B48">
        <f>25+19*J6</f>
        <v>83.9</v>
      </c>
      <c r="C48" t="s">
        <v>109</v>
      </c>
      <c r="D48" t="s">
        <v>100</v>
      </c>
      <c r="E48" t="s">
        <v>101</v>
      </c>
    </row>
    <row r="49" spans="1:5" x14ac:dyDescent="0.25">
      <c r="A49" t="s">
        <v>103</v>
      </c>
      <c r="B49">
        <f>B29*(J5/100)</f>
        <v>1016.2465738439829</v>
      </c>
      <c r="C49" t="s">
        <v>5</v>
      </c>
      <c r="D49" t="s">
        <v>100</v>
      </c>
      <c r="E49" t="s">
        <v>105</v>
      </c>
    </row>
    <row r="50" spans="1:5" x14ac:dyDescent="0.25">
      <c r="A50" t="s">
        <v>106</v>
      </c>
      <c r="B50">
        <f>0.62198*(B49/(B5-B49))</f>
        <v>6.3020229305725808E-3</v>
      </c>
      <c r="C50" t="s">
        <v>107</v>
      </c>
      <c r="D50" t="s">
        <v>100</v>
      </c>
      <c r="E50" t="s">
        <v>105</v>
      </c>
    </row>
    <row r="51" spans="1:5" x14ac:dyDescent="0.25">
      <c r="A51" t="s">
        <v>108</v>
      </c>
      <c r="B51">
        <f>0.62198*(B29/(B5-B29))</f>
        <v>1.4509892011939822E-2</v>
      </c>
      <c r="C51" t="s">
        <v>107</v>
      </c>
      <c r="D51" t="s">
        <v>100</v>
      </c>
      <c r="E51" t="s">
        <v>105</v>
      </c>
    </row>
    <row r="52" spans="1:5" x14ac:dyDescent="0.25">
      <c r="A52" t="s">
        <v>110</v>
      </c>
      <c r="B52">
        <f>B48*(B51-B50)</f>
        <v>0.68864021592671165</v>
      </c>
      <c r="C52" t="s">
        <v>111</v>
      </c>
      <c r="D52" t="s">
        <v>100</v>
      </c>
    </row>
    <row r="53" spans="1:5" x14ac:dyDescent="0.25">
      <c r="A53" t="s">
        <v>112</v>
      </c>
      <c r="B53">
        <f>B52*B30</f>
        <v>1673257.996658724</v>
      </c>
      <c r="C53" t="s">
        <v>114</v>
      </c>
    </row>
    <row r="54" spans="1:5" ht="15.75" thickBot="1" x14ac:dyDescent="0.3"/>
    <row r="55" spans="1:5" ht="16.5" thickTop="1" thickBot="1" x14ac:dyDescent="0.3">
      <c r="A55" s="3" t="s">
        <v>119</v>
      </c>
      <c r="B55" s="3"/>
      <c r="C55" s="3"/>
      <c r="D55" s="3"/>
      <c r="E55" s="3"/>
    </row>
    <row r="56" spans="1:5" ht="15.75" thickTop="1" x14ac:dyDescent="0.25">
      <c r="A56" t="s">
        <v>115</v>
      </c>
      <c r="B56">
        <f>J10-B52*(J8*J7)/B23</f>
        <v>9.9309433026330272</v>
      </c>
      <c r="C56" t="s">
        <v>14</v>
      </c>
      <c r="E56" t="s">
        <v>121</v>
      </c>
    </row>
    <row r="57" spans="1:5" x14ac:dyDescent="0.25">
      <c r="A57" t="s">
        <v>120</v>
      </c>
      <c r="B57">
        <f>B56/(J11*J8)</f>
        <v>0.14896414953949538</v>
      </c>
      <c r="C57" t="s">
        <v>94</v>
      </c>
      <c r="E57" t="s">
        <v>125</v>
      </c>
    </row>
    <row r="58" spans="1:5" x14ac:dyDescent="0.25">
      <c r="A58" t="s">
        <v>126</v>
      </c>
      <c r="B58">
        <f>J11*(B57^2+0.5*(B57)^2)/((2/3)*B57^2)</f>
        <v>300.00000000000006</v>
      </c>
      <c r="C58" t="s">
        <v>123</v>
      </c>
      <c r="D58" t="s">
        <v>127</v>
      </c>
    </row>
    <row r="59" spans="1:5" x14ac:dyDescent="0.25">
      <c r="A59" t="s">
        <v>128</v>
      </c>
      <c r="B59">
        <f>4*J8*B57/(G61+2*B57)</f>
        <v>1</v>
      </c>
      <c r="C59" t="s">
        <v>94</v>
      </c>
    </row>
    <row r="60" spans="1:5" x14ac:dyDescent="0.25">
      <c r="A60" t="s">
        <v>129</v>
      </c>
      <c r="B60">
        <f>J11*B23*B59/(B25)</f>
        <v>4133.6253964209645</v>
      </c>
      <c r="E60" t="s">
        <v>130</v>
      </c>
    </row>
    <row r="61" spans="1:5" ht="15.75" thickBot="1" x14ac:dyDescent="0.3"/>
    <row r="62" spans="1:5" ht="16.5" thickTop="1" thickBot="1" x14ac:dyDescent="0.3">
      <c r="A62" s="3" t="s">
        <v>131</v>
      </c>
      <c r="B62" s="3"/>
      <c r="C62" s="3"/>
      <c r="D62" s="3"/>
      <c r="E62" s="3"/>
    </row>
    <row r="63" spans="1:5" ht="15.75" thickTop="1" x14ac:dyDescent="0.25">
      <c r="A63" t="s">
        <v>159</v>
      </c>
      <c r="B63">
        <v>1</v>
      </c>
      <c r="C63" t="s">
        <v>14</v>
      </c>
    </row>
    <row r="64" spans="1:5" x14ac:dyDescent="0.25">
      <c r="A64" t="s">
        <v>132</v>
      </c>
      <c r="B64">
        <f>7.9/24</f>
        <v>0.32916666666666666</v>
      </c>
      <c r="C64" t="s">
        <v>133</v>
      </c>
      <c r="D64" s="2" t="s">
        <v>203</v>
      </c>
    </row>
    <row r="65" spans="1:5" x14ac:dyDescent="0.25">
      <c r="A65" t="s">
        <v>134</v>
      </c>
      <c r="B65">
        <v>1.88</v>
      </c>
      <c r="C65" t="s">
        <v>135</v>
      </c>
    </row>
    <row r="66" spans="1:5" x14ac:dyDescent="0.25">
      <c r="A66" t="s">
        <v>136</v>
      </c>
      <c r="B66">
        <f>0.000000001*3600</f>
        <v>3.6000000000000003E-6</v>
      </c>
      <c r="C66" t="s">
        <v>138</v>
      </c>
    </row>
    <row r="67" spans="1:5" x14ac:dyDescent="0.25">
      <c r="A67" t="s">
        <v>137</v>
      </c>
      <c r="B67">
        <f>0.000000001*3600</f>
        <v>3.6000000000000003E-6</v>
      </c>
      <c r="C67" t="s">
        <v>138</v>
      </c>
    </row>
    <row r="68" spans="1:5" ht="15.75" thickBot="1" x14ac:dyDescent="0.3"/>
    <row r="69" spans="1:5" ht="16.5" thickTop="1" thickBot="1" x14ac:dyDescent="0.3">
      <c r="A69" s="3" t="s">
        <v>139</v>
      </c>
      <c r="B69" s="3"/>
      <c r="C69" s="3"/>
      <c r="D69" s="3"/>
      <c r="E69" s="3"/>
    </row>
    <row r="70" spans="1:5" ht="15.75" thickTop="1" x14ac:dyDescent="0.25">
      <c r="A70" t="s">
        <v>140</v>
      </c>
      <c r="B70">
        <f>-0.0002*J12^2+0.0107*J12+0.8661</f>
        <v>0.98160000000000003</v>
      </c>
      <c r="D70" t="s">
        <v>204</v>
      </c>
    </row>
    <row r="71" spans="1:5" x14ac:dyDescent="0.25">
      <c r="A71" t="s">
        <v>144</v>
      </c>
      <c r="B71">
        <v>308</v>
      </c>
      <c r="C71" t="s">
        <v>8</v>
      </c>
      <c r="D71" s="2" t="s">
        <v>205</v>
      </c>
    </row>
    <row r="72" spans="1:5" x14ac:dyDescent="0.25">
      <c r="A72" t="s">
        <v>145</v>
      </c>
      <c r="B72">
        <v>277.2</v>
      </c>
      <c r="C72" t="s">
        <v>8</v>
      </c>
      <c r="D72" s="2" t="s">
        <v>206</v>
      </c>
    </row>
    <row r="73" spans="1:5" x14ac:dyDescent="0.25">
      <c r="A73" t="s">
        <v>146</v>
      </c>
      <c r="B73">
        <v>320</v>
      </c>
      <c r="C73" t="s">
        <v>8</v>
      </c>
      <c r="D73" s="2" t="s">
        <v>207</v>
      </c>
    </row>
    <row r="74" spans="1:5" x14ac:dyDescent="0.25">
      <c r="A74" t="s">
        <v>147</v>
      </c>
      <c r="B74">
        <f>(B71-B72)*(J2-B71)</f>
        <v>-308.00000000000011</v>
      </c>
      <c r="D74" s="2" t="s">
        <v>208</v>
      </c>
      <c r="E74" t="s">
        <v>21</v>
      </c>
    </row>
    <row r="75" spans="1:5" x14ac:dyDescent="0.25">
      <c r="A75" t="s">
        <v>148</v>
      </c>
      <c r="B75">
        <f>(B71-B73)*(B71+B72-2*J2)</f>
        <v>129.59999999999945</v>
      </c>
      <c r="D75" s="2" t="s">
        <v>209</v>
      </c>
      <c r="E75" t="s">
        <v>21</v>
      </c>
    </row>
    <row r="76" spans="1:5" x14ac:dyDescent="0.25">
      <c r="A76" t="s">
        <v>149</v>
      </c>
      <c r="B76">
        <f>((J2-B73)*(J2-B72)^2)/((B71-B72)*(B74-B75))</f>
        <v>0.70618960564116084</v>
      </c>
      <c r="D76" s="2" t="s">
        <v>210</v>
      </c>
      <c r="E76" t="s">
        <v>21</v>
      </c>
    </row>
    <row r="77" spans="1:5" x14ac:dyDescent="0.25">
      <c r="A77" t="s">
        <v>170</v>
      </c>
      <c r="B77">
        <f>TANH((B84*B85*M2*B83)/(B64*(1/M7)))</f>
        <v>0.70276482331233692</v>
      </c>
      <c r="D77" s="2" t="s">
        <v>211</v>
      </c>
    </row>
    <row r="78" spans="1:5" x14ac:dyDescent="0.25">
      <c r="A78" t="s">
        <v>173</v>
      </c>
      <c r="B78" cm="1">
        <f t="array" ref="B78">CO2F(10)</f>
        <v>0.82081880927169726</v>
      </c>
      <c r="D78" t="s">
        <v>212</v>
      </c>
      <c r="E78" t="s">
        <v>174</v>
      </c>
    </row>
    <row r="79" spans="1:5" x14ac:dyDescent="0.25">
      <c r="A79" t="s">
        <v>177</v>
      </c>
      <c r="B79">
        <f>B64*B76*B77*B78*B70 - 0.003621</f>
        <v>0.12800116648388535</v>
      </c>
      <c r="C79" t="s">
        <v>133</v>
      </c>
    </row>
    <row r="80" spans="1:5" ht="15.75" thickBot="1" x14ac:dyDescent="0.3"/>
    <row r="81" spans="1:5" ht="16.5" thickTop="1" thickBot="1" x14ac:dyDescent="0.3">
      <c r="A81" s="3" t="s">
        <v>150</v>
      </c>
      <c r="B81" s="3"/>
      <c r="C81" s="3"/>
      <c r="D81" s="3"/>
      <c r="E81" s="3"/>
    </row>
    <row r="82" spans="1:5" ht="15.75" thickTop="1" x14ac:dyDescent="0.25">
      <c r="A82" t="s">
        <v>151</v>
      </c>
      <c r="B82">
        <f>SUM(Sheet2!D2:D302)</f>
        <v>536.27604999999858</v>
      </c>
      <c r="C82" t="s">
        <v>155</v>
      </c>
      <c r="D82" s="2" t="s">
        <v>211</v>
      </c>
      <c r="E82" t="s">
        <v>168</v>
      </c>
    </row>
    <row r="83" spans="1:5" x14ac:dyDescent="0.25">
      <c r="A83" t="s">
        <v>156</v>
      </c>
      <c r="B83">
        <f>SUM(Sheet2!E2:E302)</f>
        <v>288.52704679046695</v>
      </c>
      <c r="C83" t="s">
        <v>155</v>
      </c>
      <c r="D83" s="2" t="s">
        <v>213</v>
      </c>
      <c r="E83" t="s">
        <v>169</v>
      </c>
    </row>
    <row r="84" spans="1:5" x14ac:dyDescent="0.25">
      <c r="A84" t="s">
        <v>164</v>
      </c>
      <c r="B84">
        <f>1.38/24</f>
        <v>5.7499999999999996E-2</v>
      </c>
      <c r="C84" t="s">
        <v>165</v>
      </c>
      <c r="D84" s="2" t="s">
        <v>214</v>
      </c>
    </row>
    <row r="85" spans="1:5" x14ac:dyDescent="0.25">
      <c r="A85" t="s">
        <v>166</v>
      </c>
      <c r="B85">
        <f>4.81</f>
        <v>4.8099999999999996</v>
      </c>
      <c r="C85" t="s">
        <v>167</v>
      </c>
      <c r="D85" s="2" t="s">
        <v>215</v>
      </c>
    </row>
    <row r="86" spans="1:5" ht="15.75" thickBot="1" x14ac:dyDescent="0.3"/>
    <row r="87" spans="1:5" ht="16.5" thickTop="1" thickBot="1" x14ac:dyDescent="0.3">
      <c r="A87" s="3" t="s">
        <v>178</v>
      </c>
      <c r="B87" s="3"/>
      <c r="C87" s="3"/>
      <c r="D87" s="3"/>
      <c r="E87" s="3"/>
    </row>
    <row r="88" spans="1:5" ht="15.75" thickTop="1" x14ac:dyDescent="0.25">
      <c r="A88" t="s">
        <v>179</v>
      </c>
      <c r="B88">
        <f>(1-0.03)*B28*J3*M7</f>
        <v>236932.19999999998</v>
      </c>
      <c r="C88" t="s">
        <v>180</v>
      </c>
      <c r="D88" s="2" t="s">
        <v>197</v>
      </c>
    </row>
    <row r="89" spans="1:5" x14ac:dyDescent="0.25">
      <c r="A89" t="s">
        <v>181</v>
      </c>
      <c r="B89">
        <f>-(B6*J2^4*B31)*M7</f>
        <v>-1561532.4961355762</v>
      </c>
      <c r="C89" t="s">
        <v>180</v>
      </c>
      <c r="D89" s="2" t="s">
        <v>197</v>
      </c>
    </row>
    <row r="90" spans="1:5" x14ac:dyDescent="0.25">
      <c r="A90" t="s">
        <v>182</v>
      </c>
      <c r="B90" s="1">
        <f>B31*B14*B6*J4^4*M7</f>
        <v>1167471.906250441</v>
      </c>
      <c r="C90" t="s">
        <v>180</v>
      </c>
      <c r="D90" s="2" t="s">
        <v>197</v>
      </c>
    </row>
    <row r="91" spans="1:5" x14ac:dyDescent="0.25">
      <c r="A91" t="s">
        <v>185</v>
      </c>
      <c r="B91" s="1">
        <f>B53</f>
        <v>1673257.996658724</v>
      </c>
      <c r="C91" t="s">
        <v>180</v>
      </c>
      <c r="D91" s="2" t="s">
        <v>197</v>
      </c>
    </row>
    <row r="92" spans="1:5" x14ac:dyDescent="0.25">
      <c r="A92" t="s">
        <v>194</v>
      </c>
      <c r="B92">
        <f>B18*(J4-J2)*3600</f>
        <v>-30081.830955372134</v>
      </c>
      <c r="C92" t="s">
        <v>180</v>
      </c>
      <c r="D92" s="2" t="s">
        <v>197</v>
      </c>
    </row>
    <row r="93" spans="1:5" x14ac:dyDescent="0.25">
      <c r="A93" t="s">
        <v>195</v>
      </c>
      <c r="B93">
        <f>-(B44*(J2-J15)/B45)*3600</f>
        <v>-8459.201843292145</v>
      </c>
      <c r="C93" t="s">
        <v>180</v>
      </c>
      <c r="D93" s="2" t="s">
        <v>197</v>
      </c>
    </row>
    <row r="94" spans="1:5" x14ac:dyDescent="0.25">
      <c r="A94" t="s">
        <v>198</v>
      </c>
      <c r="B94">
        <f>SUM(B88:B92)</f>
        <v>1486047.7758182166</v>
      </c>
      <c r="C94" t="s">
        <v>180</v>
      </c>
    </row>
  </sheetData>
  <phoneticPr fontId="3" type="noConversion"/>
  <hyperlinks>
    <hyperlink ref="D28" r:id="rId1" tooltip="Persistent link using digital object identifier" xr:uid="{A1EED9DE-F9BC-49EE-989E-59708B3341DE}"/>
    <hyperlink ref="D34" r:id="rId2" display="https://pubs.acs.org/doi/10.1021/je401008s" xr:uid="{8F8ABF99-6112-408B-991B-19E5D130DDC2}"/>
    <hyperlink ref="D45" r:id="rId3" display="https://pubs.acs.org/doi/10.1021/es1040706" xr:uid="{4C1DFAD7-7F8F-49F9-B554-84F1CA71D5E7}"/>
    <hyperlink ref="D88" r:id="rId4" display="https://pubs.acs.org/doi/10.1021/es1040706" xr:uid="{0C6FBCF7-48D6-4E57-9716-0D0E7A31FA44}"/>
    <hyperlink ref="D89:D93" r:id="rId5" display="https://pubs.acs.org/doi/10.1021/es1040706" xr:uid="{F074E1BB-3FB4-4DFB-9454-7B0CE859CC01}"/>
    <hyperlink ref="D64" r:id="rId6" xr:uid="{A01A66D5-6861-4691-B4DE-ED33AA7E7882}"/>
    <hyperlink ref="D71" r:id="rId7" display="https://doi.org/10.1038/s41598-021-91106-5" xr:uid="{F3DC8A53-6F45-4F8D-9C02-884F943EE7A3}"/>
    <hyperlink ref="D72:D73" r:id="rId8" display="https://doi.org/10.1038/s41598-021-91106-5" xr:uid="{6D47EBD8-41A7-4796-9599-5686B5261E94}"/>
    <hyperlink ref="D74" r:id="rId9" xr:uid="{5879AF33-52D9-4FD3-B698-C96ABCE3CB45}"/>
    <hyperlink ref="D75:D76" r:id="rId10" display="https://doi.org/10.1016/j.algal.2021.102224" xr:uid="{475D9F21-D115-438B-B709-E8F0B150653E}"/>
    <hyperlink ref="D77" r:id="rId11" xr:uid="{4FED1CAC-57F1-45C9-AA6F-8B34E08539C2}"/>
    <hyperlink ref="D82" r:id="rId12" xr:uid="{AC8E6293-A57C-4FEC-8DA0-71A00DC14BE2}"/>
    <hyperlink ref="D83:D85" r:id="rId13" display="https://doi.org/10.1002/bit.28052" xr:uid="{907C5F98-ACE9-4490-BFC5-B82C268911F2}"/>
    <hyperlink ref="D83" r:id="rId14" xr:uid="{0940F22C-09AE-4937-BC58-3CC5C210D8A1}"/>
  </hyperlinks>
  <pageMargins left="0.7" right="0.7" top="0.75" bottom="0.75" header="0.3" footer="0.3"/>
  <tableParts count="3">
    <tablePart r:id="rId15"/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879-9852-41D7-A03B-096FF453B3D2}">
  <sheetPr codeName="Sheet2"/>
  <dimension ref="A1:E302"/>
  <sheetViews>
    <sheetView workbookViewId="0">
      <selection activeCell="J26" sqref="J26"/>
    </sheetView>
  </sheetViews>
  <sheetFormatPr defaultRowHeight="15" x14ac:dyDescent="0.25"/>
  <sheetData>
    <row r="1" spans="1:5" x14ac:dyDescent="0.25">
      <c r="A1" t="s">
        <v>163</v>
      </c>
      <c r="B1" t="s">
        <v>162</v>
      </c>
      <c r="C1" t="s">
        <v>90</v>
      </c>
      <c r="D1" t="s">
        <v>161</v>
      </c>
      <c r="E1" t="s">
        <v>160</v>
      </c>
    </row>
    <row r="2" spans="1:5" x14ac:dyDescent="0.25">
      <c r="A2">
        <v>400</v>
      </c>
      <c r="B2">
        <v>7.7</v>
      </c>
      <c r="C2">
        <v>1.4599999999999999E-3</v>
      </c>
      <c r="D2">
        <f>Sheet1!$J$3*Sheet1!$M$6*Sheet2!C2</f>
        <v>1.4271499999999997</v>
      </c>
      <c r="E2">
        <f>D2*EXP(-B2*Sheet1!$J$13*Sheet1!$B$57)</f>
        <v>0.45323500967979824</v>
      </c>
    </row>
    <row r="3" spans="1:5" x14ac:dyDescent="0.25">
      <c r="A3">
        <v>401</v>
      </c>
      <c r="B3">
        <v>7.7</v>
      </c>
      <c r="C3">
        <v>1.4599999999999999E-3</v>
      </c>
      <c r="D3">
        <f>Sheet1!$J$3*Sheet1!$M$6*Sheet2!C3</f>
        <v>1.4271499999999997</v>
      </c>
      <c r="E3">
        <f>D3*EXP(-B3*Sheet1!$J$13*Sheet1!$B$57)</f>
        <v>0.45323500967979824</v>
      </c>
    </row>
    <row r="4" spans="1:5" x14ac:dyDescent="0.25">
      <c r="A4">
        <v>402</v>
      </c>
      <c r="B4">
        <v>7.9</v>
      </c>
      <c r="C4">
        <v>1.4599999999999999E-3</v>
      </c>
      <c r="D4">
        <f>Sheet1!$J$3*Sheet1!$M$6*Sheet2!C4</f>
        <v>1.4271499999999997</v>
      </c>
      <c r="E4">
        <f>D4*EXP(-B4*Sheet1!$J$13*Sheet1!$B$57)</f>
        <v>0.43993102190175426</v>
      </c>
    </row>
    <row r="5" spans="1:5" x14ac:dyDescent="0.25">
      <c r="A5">
        <v>403</v>
      </c>
      <c r="B5">
        <v>7.9</v>
      </c>
      <c r="C5">
        <v>1.4599999999999999E-3</v>
      </c>
      <c r="D5">
        <f>Sheet1!$J$3*Sheet1!$M$6*Sheet2!C5</f>
        <v>1.4271499999999997</v>
      </c>
      <c r="E5">
        <f>D5*EXP(-B5*Sheet1!$J$13*Sheet1!$B$57)</f>
        <v>0.43993102190175426</v>
      </c>
    </row>
    <row r="6" spans="1:5" x14ac:dyDescent="0.25">
      <c r="A6">
        <v>404</v>
      </c>
      <c r="B6">
        <v>8.1</v>
      </c>
      <c r="C6">
        <v>1.4599999999999999E-3</v>
      </c>
      <c r="D6">
        <f>Sheet1!$J$3*Sheet1!$M$6*Sheet2!C6</f>
        <v>1.4271499999999997</v>
      </c>
      <c r="E6">
        <f>D6*EXP(-B6*Sheet1!$J$13*Sheet1!$B$57)</f>
        <v>0.42701755137638997</v>
      </c>
    </row>
    <row r="7" spans="1:5" x14ac:dyDescent="0.25">
      <c r="A7">
        <v>405</v>
      </c>
      <c r="B7">
        <v>8.1999999999999993</v>
      </c>
      <c r="C7">
        <v>1.4599999999999999E-3</v>
      </c>
      <c r="D7">
        <f>Sheet1!$J$3*Sheet1!$M$6*Sheet2!C7</f>
        <v>1.4271499999999997</v>
      </c>
      <c r="E7">
        <f>D7*EXP(-B7*Sheet1!$J$13*Sheet1!$B$57)</f>
        <v>0.42070366463245246</v>
      </c>
    </row>
    <row r="8" spans="1:5" x14ac:dyDescent="0.25">
      <c r="A8">
        <v>406</v>
      </c>
      <c r="B8">
        <v>8.3000000000000007</v>
      </c>
      <c r="C8">
        <v>1.4599999999999999E-3</v>
      </c>
      <c r="D8">
        <f>Sheet1!$J$3*Sheet1!$M$6*Sheet2!C8</f>
        <v>1.4271499999999997</v>
      </c>
      <c r="E8">
        <f>D8*EXP(-B8*Sheet1!$J$13*Sheet1!$B$57)</f>
        <v>0.41448313509523088</v>
      </c>
    </row>
    <row r="9" spans="1:5" x14ac:dyDescent="0.25">
      <c r="A9">
        <v>407</v>
      </c>
      <c r="B9">
        <v>8.4</v>
      </c>
      <c r="C9">
        <v>1.4599999999999999E-3</v>
      </c>
      <c r="D9">
        <f>Sheet1!$J$3*Sheet1!$M$6*Sheet2!C9</f>
        <v>1.4271499999999997</v>
      </c>
      <c r="E9">
        <f>D9*EXP(-B9*Sheet1!$J$13*Sheet1!$B$57)</f>
        <v>0.4083545823839238</v>
      </c>
    </row>
    <row r="10" spans="1:5" x14ac:dyDescent="0.25">
      <c r="A10">
        <v>408</v>
      </c>
      <c r="B10">
        <v>8.6</v>
      </c>
      <c r="C10">
        <v>1.4599999999999999E-3</v>
      </c>
      <c r="D10">
        <f>Sheet1!$J$3*Sheet1!$M$6*Sheet2!C10</f>
        <v>1.4271499999999997</v>
      </c>
      <c r="E10">
        <f>D10*EXP(-B10*Sheet1!$J$13*Sheet1!$B$57)</f>
        <v>0.39636798766569581</v>
      </c>
    </row>
    <row r="11" spans="1:5" x14ac:dyDescent="0.25">
      <c r="A11">
        <v>409</v>
      </c>
      <c r="B11">
        <v>8.6999999999999993</v>
      </c>
      <c r="C11">
        <v>1.4599999999999999E-3</v>
      </c>
      <c r="D11">
        <f>Sheet1!$J$3*Sheet1!$M$6*Sheet2!C11</f>
        <v>1.4271499999999997</v>
      </c>
      <c r="E11">
        <f>D11*EXP(-B11*Sheet1!$J$13*Sheet1!$B$57)</f>
        <v>0.3905072857461212</v>
      </c>
    </row>
    <row r="12" spans="1:5" x14ac:dyDescent="0.25">
      <c r="A12">
        <v>410</v>
      </c>
      <c r="B12">
        <v>8.8000000000000007</v>
      </c>
      <c r="C12">
        <v>1.4599999999999999E-3</v>
      </c>
      <c r="D12">
        <f>Sheet1!$J$3*Sheet1!$M$6*Sheet2!C12</f>
        <v>1.4271499999999997</v>
      </c>
      <c r="E12">
        <f>D12*EXP(-B12*Sheet1!$J$13*Sheet1!$B$57)</f>
        <v>0.38473324023689981</v>
      </c>
    </row>
    <row r="13" spans="1:5" x14ac:dyDescent="0.25">
      <c r="A13">
        <v>411</v>
      </c>
      <c r="B13">
        <v>9</v>
      </c>
      <c r="C13">
        <v>1.4599999999999999E-3</v>
      </c>
      <c r="D13">
        <f>Sheet1!$J$3*Sheet1!$M$6*Sheet2!C13</f>
        <v>1.4271499999999997</v>
      </c>
      <c r="E13">
        <f>D13*EXP(-B13*Sheet1!$J$13*Sheet1!$B$57)</f>
        <v>0.373440012183897</v>
      </c>
    </row>
    <row r="14" spans="1:5" x14ac:dyDescent="0.25">
      <c r="A14">
        <v>412</v>
      </c>
      <c r="B14">
        <v>9.1</v>
      </c>
      <c r="C14">
        <v>1.4599999999999999E-3</v>
      </c>
      <c r="D14">
        <f>Sheet1!$J$3*Sheet1!$M$6*Sheet2!C14</f>
        <v>1.4271499999999997</v>
      </c>
      <c r="E14">
        <f>D14*EXP(-B14*Sheet1!$J$13*Sheet1!$B$57)</f>
        <v>0.36791832359057391</v>
      </c>
    </row>
    <row r="15" spans="1:5" x14ac:dyDescent="0.25">
      <c r="A15">
        <v>413</v>
      </c>
      <c r="B15">
        <v>9.1999999999999993</v>
      </c>
      <c r="C15">
        <v>1.4599999999999999E-3</v>
      </c>
      <c r="D15">
        <f>Sheet1!$J$3*Sheet1!$M$6*Sheet2!C15</f>
        <v>1.4271499999999997</v>
      </c>
      <c r="E15">
        <f>D15*EXP(-B15*Sheet1!$J$13*Sheet1!$B$57)</f>
        <v>0.36247827875241051</v>
      </c>
    </row>
    <row r="16" spans="1:5" x14ac:dyDescent="0.25">
      <c r="A16">
        <v>414</v>
      </c>
      <c r="B16">
        <v>9.1999999999999993</v>
      </c>
      <c r="C16">
        <v>1.4599999999999999E-3</v>
      </c>
      <c r="D16">
        <f>Sheet1!$J$3*Sheet1!$M$6*Sheet2!C16</f>
        <v>1.4271499999999997</v>
      </c>
      <c r="E16">
        <f>D16*EXP(-B16*Sheet1!$J$13*Sheet1!$B$57)</f>
        <v>0.36247827875241051</v>
      </c>
    </row>
    <row r="17" spans="1:5" x14ac:dyDescent="0.25">
      <c r="A17">
        <v>415</v>
      </c>
      <c r="B17">
        <v>9.3000000000000007</v>
      </c>
      <c r="C17">
        <v>1.4599999999999999E-3</v>
      </c>
      <c r="D17">
        <f>Sheet1!$J$3*Sheet1!$M$6*Sheet2!C17</f>
        <v>1.4271499999999997</v>
      </c>
      <c r="E17">
        <f>D17*EXP(-B17*Sheet1!$J$13*Sheet1!$B$57)</f>
        <v>0.35711867048384338</v>
      </c>
    </row>
    <row r="18" spans="1:5" x14ac:dyDescent="0.25">
      <c r="A18">
        <v>416</v>
      </c>
      <c r="B18">
        <v>9.5</v>
      </c>
      <c r="C18">
        <v>1.4599999999999999E-3</v>
      </c>
      <c r="D18">
        <f>Sheet1!$J$3*Sheet1!$M$6*Sheet2!C18</f>
        <v>1.4271499999999997</v>
      </c>
      <c r="E18">
        <f>D18*EXP(-B18*Sheet1!$J$13*Sheet1!$B$57)</f>
        <v>0.34663602389662396</v>
      </c>
    </row>
    <row r="19" spans="1:5" x14ac:dyDescent="0.25">
      <c r="A19">
        <v>417</v>
      </c>
      <c r="B19">
        <v>9.3000000000000007</v>
      </c>
      <c r="C19">
        <v>1.4599999999999999E-3</v>
      </c>
      <c r="D19">
        <f>Sheet1!$J$3*Sheet1!$M$6*Sheet2!C19</f>
        <v>1.4271499999999997</v>
      </c>
      <c r="E19">
        <f>D19*EXP(-B19*Sheet1!$J$13*Sheet1!$B$57)</f>
        <v>0.35711867048384338</v>
      </c>
    </row>
    <row r="20" spans="1:5" x14ac:dyDescent="0.25">
      <c r="A20">
        <v>418</v>
      </c>
      <c r="B20">
        <v>9.5</v>
      </c>
      <c r="C20">
        <v>1.4599999999999999E-3</v>
      </c>
      <c r="D20">
        <f>Sheet1!$J$3*Sheet1!$M$6*Sheet2!C20</f>
        <v>1.4271499999999997</v>
      </c>
      <c r="E20">
        <f>D20*EXP(-B20*Sheet1!$J$13*Sheet1!$B$57)</f>
        <v>0.34663602389662396</v>
      </c>
    </row>
    <row r="21" spans="1:5" x14ac:dyDescent="0.25">
      <c r="A21">
        <v>419</v>
      </c>
      <c r="B21">
        <v>9.5</v>
      </c>
      <c r="C21">
        <v>1.4599999999999999E-3</v>
      </c>
      <c r="D21">
        <f>Sheet1!$J$3*Sheet1!$M$6*Sheet2!C21</f>
        <v>1.4271499999999997</v>
      </c>
      <c r="E21">
        <f>D21*EXP(-B21*Sheet1!$J$13*Sheet1!$B$57)</f>
        <v>0.34663602389662396</v>
      </c>
    </row>
    <row r="22" spans="1:5" x14ac:dyDescent="0.25">
      <c r="A22">
        <v>420</v>
      </c>
      <c r="B22">
        <v>9.6999999999999993</v>
      </c>
      <c r="C22">
        <v>1.4599999999999999E-3</v>
      </c>
      <c r="D22">
        <f>Sheet1!$J$3*Sheet1!$M$6*Sheet2!C22</f>
        <v>1.4271499999999997</v>
      </c>
      <c r="E22">
        <f>D22*EXP(-B22*Sheet1!$J$13*Sheet1!$B$57)</f>
        <v>0.33646107861027358</v>
      </c>
    </row>
    <row r="23" spans="1:5" x14ac:dyDescent="0.25">
      <c r="A23">
        <v>421</v>
      </c>
      <c r="B23">
        <v>9.6</v>
      </c>
      <c r="C23">
        <v>1.4599999999999999E-3</v>
      </c>
      <c r="D23">
        <f>Sheet1!$J$3*Sheet1!$M$6*Sheet2!C23</f>
        <v>1.4271499999999997</v>
      </c>
      <c r="E23">
        <f>D23*EXP(-B23*Sheet1!$J$13*Sheet1!$B$57)</f>
        <v>0.34151065940235986</v>
      </c>
    </row>
    <row r="24" spans="1:5" x14ac:dyDescent="0.25">
      <c r="A24">
        <v>422</v>
      </c>
      <c r="B24">
        <v>9.6999999999999993</v>
      </c>
      <c r="C24">
        <v>1.4599999999999999E-3</v>
      </c>
      <c r="D24">
        <f>Sheet1!$J$3*Sheet1!$M$6*Sheet2!C24</f>
        <v>1.4271499999999997</v>
      </c>
      <c r="E24">
        <f>D24*EXP(-B24*Sheet1!$J$13*Sheet1!$B$57)</f>
        <v>0.33646107861027358</v>
      </c>
    </row>
    <row r="25" spans="1:5" x14ac:dyDescent="0.25">
      <c r="A25">
        <v>423</v>
      </c>
      <c r="B25">
        <v>9.6999999999999993</v>
      </c>
      <c r="C25">
        <v>1.4599999999999999E-3</v>
      </c>
      <c r="D25">
        <f>Sheet1!$J$3*Sheet1!$M$6*Sheet2!C25</f>
        <v>1.4271499999999997</v>
      </c>
      <c r="E25">
        <f>D25*EXP(-B25*Sheet1!$J$13*Sheet1!$B$57)</f>
        <v>0.33646107861027358</v>
      </c>
    </row>
    <row r="26" spans="1:5" x14ac:dyDescent="0.25">
      <c r="A26">
        <v>424</v>
      </c>
      <c r="B26">
        <v>9.9</v>
      </c>
      <c r="C26">
        <v>1.4599999999999999E-3</v>
      </c>
      <c r="D26">
        <f>Sheet1!$J$3*Sheet1!$M$6*Sheet2!C26</f>
        <v>1.4271499999999997</v>
      </c>
      <c r="E26">
        <f>D26*EXP(-B26*Sheet1!$J$13*Sheet1!$B$57)</f>
        <v>0.32658480254594008</v>
      </c>
    </row>
    <row r="27" spans="1:5" x14ac:dyDescent="0.25">
      <c r="A27">
        <v>425</v>
      </c>
      <c r="B27">
        <v>9.9</v>
      </c>
      <c r="C27">
        <v>1.4599999999999999E-3</v>
      </c>
      <c r="D27">
        <f>Sheet1!$J$3*Sheet1!$M$6*Sheet2!C27</f>
        <v>1.4271499999999997</v>
      </c>
      <c r="E27">
        <f>D27*EXP(-B27*Sheet1!$J$13*Sheet1!$B$57)</f>
        <v>0.32658480254594008</v>
      </c>
    </row>
    <row r="28" spans="1:5" x14ac:dyDescent="0.25">
      <c r="A28">
        <v>426</v>
      </c>
      <c r="B28">
        <v>10</v>
      </c>
      <c r="C28">
        <v>1.4599999999999999E-3</v>
      </c>
      <c r="D28">
        <f>Sheet1!$J$3*Sheet1!$M$6*Sheet2!C28</f>
        <v>1.4271499999999997</v>
      </c>
      <c r="E28">
        <f>D28*EXP(-B28*Sheet1!$J$13*Sheet1!$B$57)</f>
        <v>0.32175591565611594</v>
      </c>
    </row>
    <row r="29" spans="1:5" x14ac:dyDescent="0.25">
      <c r="A29">
        <v>427</v>
      </c>
      <c r="B29">
        <v>10</v>
      </c>
      <c r="C29">
        <v>1.4599999999999999E-3</v>
      </c>
      <c r="D29">
        <f>Sheet1!$J$3*Sheet1!$M$6*Sheet2!C29</f>
        <v>1.4271499999999997</v>
      </c>
      <c r="E29">
        <f>D29*EXP(-B29*Sheet1!$J$13*Sheet1!$B$57)</f>
        <v>0.32175591565611594</v>
      </c>
    </row>
    <row r="30" spans="1:5" x14ac:dyDescent="0.25">
      <c r="A30">
        <v>428</v>
      </c>
      <c r="B30">
        <v>10.1</v>
      </c>
      <c r="C30">
        <v>1.4599999999999999E-3</v>
      </c>
      <c r="D30">
        <f>Sheet1!$J$3*Sheet1!$M$6*Sheet2!C30</f>
        <v>1.4271499999999997</v>
      </c>
      <c r="E30">
        <f>D30*EXP(-B30*Sheet1!$J$13*Sheet1!$B$57)</f>
        <v>0.31699842874697948</v>
      </c>
    </row>
    <row r="31" spans="1:5" x14ac:dyDescent="0.25">
      <c r="A31">
        <v>429</v>
      </c>
      <c r="B31">
        <v>10.1</v>
      </c>
      <c r="C31">
        <v>1.4599999999999999E-3</v>
      </c>
      <c r="D31">
        <f>Sheet1!$J$3*Sheet1!$M$6*Sheet2!C31</f>
        <v>1.4271499999999997</v>
      </c>
      <c r="E31">
        <f>D31*EXP(-B31*Sheet1!$J$13*Sheet1!$B$57)</f>
        <v>0.31699842874697948</v>
      </c>
    </row>
    <row r="32" spans="1:5" x14ac:dyDescent="0.25">
      <c r="A32">
        <v>430</v>
      </c>
      <c r="B32">
        <v>10.199999999999999</v>
      </c>
      <c r="C32">
        <v>1.4599999999999999E-3</v>
      </c>
      <c r="D32">
        <f>Sheet1!$J$3*Sheet1!$M$6*Sheet2!C32</f>
        <v>1.4271499999999997</v>
      </c>
      <c r="E32">
        <f>D32*EXP(-B32*Sheet1!$J$13*Sheet1!$B$57)</f>
        <v>0.31231128609754211</v>
      </c>
    </row>
    <row r="33" spans="1:5" x14ac:dyDescent="0.25">
      <c r="A33">
        <v>431</v>
      </c>
      <c r="B33">
        <v>10.4</v>
      </c>
      <c r="C33">
        <v>1.4599999999999999E-3</v>
      </c>
      <c r="D33">
        <f>Sheet1!$J$3*Sheet1!$M$6*Sheet2!C33</f>
        <v>1.4271499999999997</v>
      </c>
      <c r="E33">
        <f>D33*EXP(-B33*Sheet1!$J$13*Sheet1!$B$57)</f>
        <v>0.30314388851251817</v>
      </c>
    </row>
    <row r="34" spans="1:5" x14ac:dyDescent="0.25">
      <c r="A34">
        <v>432</v>
      </c>
      <c r="B34">
        <v>10.4</v>
      </c>
      <c r="C34">
        <v>1.4599999999999999E-3</v>
      </c>
      <c r="D34">
        <f>Sheet1!$J$3*Sheet1!$M$6*Sheet2!C34</f>
        <v>1.4271499999999997</v>
      </c>
      <c r="E34">
        <f>D34*EXP(-B34*Sheet1!$J$13*Sheet1!$B$57)</f>
        <v>0.30314388851251817</v>
      </c>
    </row>
    <row r="35" spans="1:5" x14ac:dyDescent="0.25">
      <c r="A35">
        <v>433</v>
      </c>
      <c r="B35">
        <v>10.4</v>
      </c>
      <c r="C35">
        <v>1.4599999999999999E-3</v>
      </c>
      <c r="D35">
        <f>Sheet1!$J$3*Sheet1!$M$6*Sheet2!C35</f>
        <v>1.4271499999999997</v>
      </c>
      <c r="E35">
        <f>D35*EXP(-B35*Sheet1!$J$13*Sheet1!$B$57)</f>
        <v>0.30314388851251817</v>
      </c>
    </row>
    <row r="36" spans="1:5" x14ac:dyDescent="0.25">
      <c r="A36">
        <v>434</v>
      </c>
      <c r="B36">
        <v>10.5</v>
      </c>
      <c r="C36">
        <v>1.4599999999999999E-3</v>
      </c>
      <c r="D36">
        <f>Sheet1!$J$3*Sheet1!$M$6*Sheet2!C36</f>
        <v>1.4271499999999997</v>
      </c>
      <c r="E36">
        <f>D36*EXP(-B36*Sheet1!$J$13*Sheet1!$B$57)</f>
        <v>0.29866159926465113</v>
      </c>
    </row>
    <row r="37" spans="1:5" x14ac:dyDescent="0.25">
      <c r="A37">
        <v>435</v>
      </c>
      <c r="B37">
        <v>10.5</v>
      </c>
      <c r="C37">
        <v>1.4599999999999999E-3</v>
      </c>
      <c r="D37">
        <f>Sheet1!$J$3*Sheet1!$M$6*Sheet2!C37</f>
        <v>1.4271499999999997</v>
      </c>
      <c r="E37">
        <f>D37*EXP(-B37*Sheet1!$J$13*Sheet1!$B$57)</f>
        <v>0.29866159926465113</v>
      </c>
    </row>
    <row r="38" spans="1:5" x14ac:dyDescent="0.25">
      <c r="A38">
        <v>436</v>
      </c>
      <c r="B38">
        <v>10.5</v>
      </c>
      <c r="C38">
        <v>1.4599999999999999E-3</v>
      </c>
      <c r="D38">
        <f>Sheet1!$J$3*Sheet1!$M$6*Sheet2!C38</f>
        <v>1.4271499999999997</v>
      </c>
      <c r="E38">
        <f>D38*EXP(-B38*Sheet1!$J$13*Sheet1!$B$57)</f>
        <v>0.29866159926465113</v>
      </c>
    </row>
    <row r="39" spans="1:5" x14ac:dyDescent="0.25">
      <c r="A39">
        <v>437</v>
      </c>
      <c r="B39">
        <v>10.6</v>
      </c>
      <c r="C39">
        <v>1.4599999999999999E-3</v>
      </c>
      <c r="D39">
        <f>Sheet1!$J$3*Sheet1!$M$6*Sheet2!C39</f>
        <v>1.4271499999999997</v>
      </c>
      <c r="E39">
        <f>D39*EXP(-B39*Sheet1!$J$13*Sheet1!$B$57)</f>
        <v>0.29424558520049354</v>
      </c>
    </row>
    <row r="40" spans="1:5" x14ac:dyDescent="0.25">
      <c r="A40">
        <v>438</v>
      </c>
      <c r="B40">
        <v>10.5</v>
      </c>
      <c r="C40">
        <v>1.4599999999999999E-3</v>
      </c>
      <c r="D40">
        <f>Sheet1!$J$3*Sheet1!$M$6*Sheet2!C40</f>
        <v>1.4271499999999997</v>
      </c>
      <c r="E40">
        <f>D40*EXP(-B40*Sheet1!$J$13*Sheet1!$B$57)</f>
        <v>0.29866159926465113</v>
      </c>
    </row>
    <row r="41" spans="1:5" x14ac:dyDescent="0.25">
      <c r="A41">
        <v>439</v>
      </c>
      <c r="B41">
        <v>10.5</v>
      </c>
      <c r="C41">
        <v>1.4599999999999999E-3</v>
      </c>
      <c r="D41">
        <f>Sheet1!$J$3*Sheet1!$M$6*Sheet2!C41</f>
        <v>1.4271499999999997</v>
      </c>
      <c r="E41">
        <f>D41*EXP(-B41*Sheet1!$J$13*Sheet1!$B$57)</f>
        <v>0.29866159926465113</v>
      </c>
    </row>
    <row r="42" spans="1:5" x14ac:dyDescent="0.25">
      <c r="A42">
        <v>440</v>
      </c>
      <c r="B42">
        <v>10.4</v>
      </c>
      <c r="C42">
        <v>1.4599999999999999E-3</v>
      </c>
      <c r="D42">
        <f>Sheet1!$J$3*Sheet1!$M$6*Sheet2!C42</f>
        <v>1.4271499999999997</v>
      </c>
      <c r="E42">
        <f>D42*EXP(-B42*Sheet1!$J$13*Sheet1!$B$57)</f>
        <v>0.30314388851251817</v>
      </c>
    </row>
    <row r="43" spans="1:5" x14ac:dyDescent="0.25">
      <c r="A43">
        <v>441</v>
      </c>
      <c r="B43">
        <v>10.4</v>
      </c>
      <c r="C43">
        <v>1.4599999999999999E-3</v>
      </c>
      <c r="D43">
        <f>Sheet1!$J$3*Sheet1!$M$6*Sheet2!C43</f>
        <v>1.4271499999999997</v>
      </c>
      <c r="E43">
        <f>D43*EXP(-B43*Sheet1!$J$13*Sheet1!$B$57)</f>
        <v>0.30314388851251817</v>
      </c>
    </row>
    <row r="44" spans="1:5" x14ac:dyDescent="0.25">
      <c r="A44">
        <v>442</v>
      </c>
      <c r="B44">
        <v>10.199999999999999</v>
      </c>
      <c r="C44">
        <v>1.4599999999999999E-3</v>
      </c>
      <c r="D44">
        <f>Sheet1!$J$3*Sheet1!$M$6*Sheet2!C44</f>
        <v>1.4271499999999997</v>
      </c>
      <c r="E44">
        <f>D44*EXP(-B44*Sheet1!$J$13*Sheet1!$B$57)</f>
        <v>0.31231128609754211</v>
      </c>
    </row>
    <row r="45" spans="1:5" x14ac:dyDescent="0.25">
      <c r="A45">
        <v>443</v>
      </c>
      <c r="B45">
        <v>10.1</v>
      </c>
      <c r="C45">
        <v>1.4599999999999999E-3</v>
      </c>
      <c r="D45">
        <f>Sheet1!$J$3*Sheet1!$M$6*Sheet2!C45</f>
        <v>1.4271499999999997</v>
      </c>
      <c r="E45">
        <f>D45*EXP(-B45*Sheet1!$J$13*Sheet1!$B$57)</f>
        <v>0.31699842874697948</v>
      </c>
    </row>
    <row r="46" spans="1:5" x14ac:dyDescent="0.25">
      <c r="A46">
        <v>444</v>
      </c>
      <c r="B46">
        <v>10</v>
      </c>
      <c r="C46">
        <v>1.4599999999999999E-3</v>
      </c>
      <c r="D46">
        <f>Sheet1!$J$3*Sheet1!$M$6*Sheet2!C46</f>
        <v>1.4271499999999997</v>
      </c>
      <c r="E46">
        <f>D46*EXP(-B46*Sheet1!$J$13*Sheet1!$B$57)</f>
        <v>0.32175591565611594</v>
      </c>
    </row>
    <row r="47" spans="1:5" x14ac:dyDescent="0.25">
      <c r="A47">
        <v>445</v>
      </c>
      <c r="B47">
        <v>9.9</v>
      </c>
      <c r="C47">
        <v>1.4599999999999999E-3</v>
      </c>
      <c r="D47">
        <f>Sheet1!$J$3*Sheet1!$M$6*Sheet2!C47</f>
        <v>1.4271499999999997</v>
      </c>
      <c r="E47">
        <f>D47*EXP(-B47*Sheet1!$J$13*Sheet1!$B$57)</f>
        <v>0.32658480254594008</v>
      </c>
    </row>
    <row r="48" spans="1:5" x14ac:dyDescent="0.25">
      <c r="A48">
        <v>446</v>
      </c>
      <c r="B48">
        <v>9.6</v>
      </c>
      <c r="C48">
        <v>1.4599999999999999E-3</v>
      </c>
      <c r="D48">
        <f>Sheet1!$J$3*Sheet1!$M$6*Sheet2!C48</f>
        <v>1.4271499999999997</v>
      </c>
      <c r="E48">
        <f>D48*EXP(-B48*Sheet1!$J$13*Sheet1!$B$57)</f>
        <v>0.34151065940235986</v>
      </c>
    </row>
    <row r="49" spans="1:5" x14ac:dyDescent="0.25">
      <c r="A49">
        <v>447</v>
      </c>
      <c r="B49">
        <v>9.5</v>
      </c>
      <c r="C49">
        <v>1.4599999999999999E-3</v>
      </c>
      <c r="D49">
        <f>Sheet1!$J$3*Sheet1!$M$6*Sheet2!C49</f>
        <v>1.4271499999999997</v>
      </c>
      <c r="E49">
        <f>D49*EXP(-B49*Sheet1!$J$13*Sheet1!$B$57)</f>
        <v>0.34663602389662396</v>
      </c>
    </row>
    <row r="50" spans="1:5" x14ac:dyDescent="0.25">
      <c r="A50">
        <v>448</v>
      </c>
      <c r="B50">
        <v>9.1999999999999993</v>
      </c>
      <c r="C50">
        <v>1.4599999999999999E-3</v>
      </c>
      <c r="D50">
        <f>Sheet1!$J$3*Sheet1!$M$6*Sheet2!C50</f>
        <v>1.4271499999999997</v>
      </c>
      <c r="E50">
        <f>D50*EXP(-B50*Sheet1!$J$13*Sheet1!$B$57)</f>
        <v>0.36247827875241051</v>
      </c>
    </row>
    <row r="51" spans="1:5" x14ac:dyDescent="0.25">
      <c r="A51">
        <v>449</v>
      </c>
      <c r="B51">
        <v>9.1</v>
      </c>
      <c r="C51">
        <v>1.4599999999999999E-3</v>
      </c>
      <c r="D51">
        <f>Sheet1!$J$3*Sheet1!$M$6*Sheet2!C51</f>
        <v>1.4271499999999997</v>
      </c>
      <c r="E51">
        <f>D51*EXP(-B51*Sheet1!$J$13*Sheet1!$B$57)</f>
        <v>0.36791832359057391</v>
      </c>
    </row>
    <row r="52" spans="1:5" x14ac:dyDescent="0.25">
      <c r="A52">
        <v>450</v>
      </c>
      <c r="B52">
        <v>9</v>
      </c>
      <c r="C52">
        <v>2.0999999999999999E-3</v>
      </c>
      <c r="D52">
        <f>Sheet1!$J$3*Sheet1!$M$6*Sheet2!C52</f>
        <v>2.0527499999999996</v>
      </c>
      <c r="E52">
        <f>D52*EXP(-B52*Sheet1!$J$13*Sheet1!$B$57)</f>
        <v>0.53713974355218064</v>
      </c>
    </row>
    <row r="53" spans="1:5" x14ac:dyDescent="0.25">
      <c r="A53">
        <v>451</v>
      </c>
      <c r="B53">
        <v>8.6999999999999993</v>
      </c>
      <c r="C53">
        <v>2.0999999999999999E-3</v>
      </c>
      <c r="D53">
        <f>Sheet1!$J$3*Sheet1!$M$6*Sheet2!C53</f>
        <v>2.0527499999999996</v>
      </c>
      <c r="E53">
        <f>D53*EXP(-B53*Sheet1!$J$13*Sheet1!$B$57)</f>
        <v>0.56168856168962644</v>
      </c>
    </row>
    <row r="54" spans="1:5" x14ac:dyDescent="0.25">
      <c r="A54">
        <v>452</v>
      </c>
      <c r="B54">
        <v>8.6</v>
      </c>
      <c r="C54">
        <v>2.0999999999999999E-3</v>
      </c>
      <c r="D54">
        <f>Sheet1!$J$3*Sheet1!$M$6*Sheet2!C54</f>
        <v>2.0527499999999996</v>
      </c>
      <c r="E54">
        <f>D54*EXP(-B54*Sheet1!$J$13*Sheet1!$B$57)</f>
        <v>0.5701183384232611</v>
      </c>
    </row>
    <row r="55" spans="1:5" x14ac:dyDescent="0.25">
      <c r="A55">
        <v>453</v>
      </c>
      <c r="B55">
        <v>8.4</v>
      </c>
      <c r="C55">
        <v>2.0999999999999999E-3</v>
      </c>
      <c r="D55">
        <f>Sheet1!$J$3*Sheet1!$M$6*Sheet2!C55</f>
        <v>2.0527499999999996</v>
      </c>
      <c r="E55">
        <f>D55*EXP(-B55*Sheet1!$J$13*Sheet1!$B$57)</f>
        <v>0.58735933082619185</v>
      </c>
    </row>
    <row r="56" spans="1:5" x14ac:dyDescent="0.25">
      <c r="A56">
        <v>454</v>
      </c>
      <c r="B56">
        <v>8.3000000000000007</v>
      </c>
      <c r="C56">
        <v>2.0999999999999999E-3</v>
      </c>
      <c r="D56">
        <f>Sheet1!$J$3*Sheet1!$M$6*Sheet2!C56</f>
        <v>2.0527499999999996</v>
      </c>
      <c r="E56">
        <f>D56*EXP(-B56*Sheet1!$J$13*Sheet1!$B$57)</f>
        <v>0.59617437239724991</v>
      </c>
    </row>
    <row r="57" spans="1:5" x14ac:dyDescent="0.25">
      <c r="A57">
        <v>455</v>
      </c>
      <c r="B57">
        <v>8.3000000000000007</v>
      </c>
      <c r="C57">
        <v>2.0999999999999999E-3</v>
      </c>
      <c r="D57">
        <f>Sheet1!$J$3*Sheet1!$M$6*Sheet2!C57</f>
        <v>2.0527499999999996</v>
      </c>
      <c r="E57">
        <f>D57*EXP(-B57*Sheet1!$J$13*Sheet1!$B$57)</f>
        <v>0.59617437239724991</v>
      </c>
    </row>
    <row r="58" spans="1:5" x14ac:dyDescent="0.25">
      <c r="A58">
        <v>456</v>
      </c>
      <c r="B58">
        <v>8.3000000000000007</v>
      </c>
      <c r="C58">
        <v>2.0999999999999999E-3</v>
      </c>
      <c r="D58">
        <f>Sheet1!$J$3*Sheet1!$M$6*Sheet2!C58</f>
        <v>2.0527499999999996</v>
      </c>
      <c r="E58">
        <f>D58*EXP(-B58*Sheet1!$J$13*Sheet1!$B$57)</f>
        <v>0.59617437239724991</v>
      </c>
    </row>
    <row r="59" spans="1:5" x14ac:dyDescent="0.25">
      <c r="A59">
        <v>457</v>
      </c>
      <c r="B59">
        <v>8.1999999999999993</v>
      </c>
      <c r="C59">
        <v>2.0999999999999999E-3</v>
      </c>
      <c r="D59">
        <f>Sheet1!$J$3*Sheet1!$M$6*Sheet2!C59</f>
        <v>2.0527499999999996</v>
      </c>
      <c r="E59">
        <f>D59*EXP(-B59*Sheet1!$J$13*Sheet1!$B$57)</f>
        <v>0.6051217094028426</v>
      </c>
    </row>
    <row r="60" spans="1:5" x14ac:dyDescent="0.25">
      <c r="A60">
        <v>458</v>
      </c>
      <c r="B60">
        <v>8.1999999999999993</v>
      </c>
      <c r="C60">
        <v>2.0999999999999999E-3</v>
      </c>
      <c r="D60">
        <f>Sheet1!$J$3*Sheet1!$M$6*Sheet2!C60</f>
        <v>2.0527499999999996</v>
      </c>
      <c r="E60">
        <f>D60*EXP(-B60*Sheet1!$J$13*Sheet1!$B$57)</f>
        <v>0.6051217094028426</v>
      </c>
    </row>
    <row r="61" spans="1:5" x14ac:dyDescent="0.25">
      <c r="A61">
        <v>459</v>
      </c>
      <c r="B61">
        <v>8.1</v>
      </c>
      <c r="C61">
        <v>2.0999999999999999E-3</v>
      </c>
      <c r="D61">
        <f>Sheet1!$J$3*Sheet1!$M$6*Sheet2!C61</f>
        <v>2.0527499999999996</v>
      </c>
      <c r="E61">
        <f>D61*EXP(-B61*Sheet1!$J$13*Sheet1!$B$57)</f>
        <v>0.61420332732220484</v>
      </c>
    </row>
    <row r="62" spans="1:5" x14ac:dyDescent="0.25">
      <c r="A62">
        <v>460</v>
      </c>
      <c r="B62">
        <v>8.1</v>
      </c>
      <c r="C62">
        <v>2.0999999999999999E-3</v>
      </c>
      <c r="D62">
        <f>Sheet1!$J$3*Sheet1!$M$6*Sheet2!C62</f>
        <v>2.0527499999999996</v>
      </c>
      <c r="E62">
        <f>D62*EXP(-B62*Sheet1!$J$13*Sheet1!$B$57)</f>
        <v>0.61420332732220484</v>
      </c>
    </row>
    <row r="63" spans="1:5" x14ac:dyDescent="0.25">
      <c r="A63">
        <v>461</v>
      </c>
      <c r="B63">
        <v>8.1</v>
      </c>
      <c r="C63">
        <v>2.0999999999999999E-3</v>
      </c>
      <c r="D63">
        <f>Sheet1!$J$3*Sheet1!$M$6*Sheet2!C63</f>
        <v>2.0527499999999996</v>
      </c>
      <c r="E63">
        <f>D63*EXP(-B63*Sheet1!$J$13*Sheet1!$B$57)</f>
        <v>0.61420332732220484</v>
      </c>
    </row>
    <row r="64" spans="1:5" x14ac:dyDescent="0.25">
      <c r="A64">
        <v>462</v>
      </c>
      <c r="B64">
        <v>8.1</v>
      </c>
      <c r="C64">
        <v>2.0999999999999999E-3</v>
      </c>
      <c r="D64">
        <f>Sheet1!$J$3*Sheet1!$M$6*Sheet2!C64</f>
        <v>2.0527499999999996</v>
      </c>
      <c r="E64">
        <f>D64*EXP(-B64*Sheet1!$J$13*Sheet1!$B$57)</f>
        <v>0.61420332732220484</v>
      </c>
    </row>
    <row r="65" spans="1:5" x14ac:dyDescent="0.25">
      <c r="A65">
        <v>463</v>
      </c>
      <c r="B65">
        <v>8.1</v>
      </c>
      <c r="C65">
        <v>2.0999999999999999E-3</v>
      </c>
      <c r="D65">
        <f>Sheet1!$J$3*Sheet1!$M$6*Sheet2!C65</f>
        <v>2.0527499999999996</v>
      </c>
      <c r="E65">
        <f>D65*EXP(-B65*Sheet1!$J$13*Sheet1!$B$57)</f>
        <v>0.61420332732220484</v>
      </c>
    </row>
    <row r="66" spans="1:5" x14ac:dyDescent="0.25">
      <c r="A66">
        <v>464</v>
      </c>
      <c r="B66">
        <v>8.1999999999999993</v>
      </c>
      <c r="C66">
        <v>2.0999999999999999E-3</v>
      </c>
      <c r="D66">
        <f>Sheet1!$J$3*Sheet1!$M$6*Sheet2!C66</f>
        <v>2.0527499999999996</v>
      </c>
      <c r="E66">
        <f>D66*EXP(-B66*Sheet1!$J$13*Sheet1!$B$57)</f>
        <v>0.6051217094028426</v>
      </c>
    </row>
    <row r="67" spans="1:5" x14ac:dyDescent="0.25">
      <c r="A67">
        <v>465</v>
      </c>
      <c r="B67">
        <v>8.1999999999999993</v>
      </c>
      <c r="C67">
        <v>2.0999999999999999E-3</v>
      </c>
      <c r="D67">
        <f>Sheet1!$J$3*Sheet1!$M$6*Sheet2!C67</f>
        <v>2.0527499999999996</v>
      </c>
      <c r="E67">
        <f>D67*EXP(-B67*Sheet1!$J$13*Sheet1!$B$57)</f>
        <v>0.6051217094028426</v>
      </c>
    </row>
    <row r="68" spans="1:5" x14ac:dyDescent="0.25">
      <c r="A68">
        <v>466</v>
      </c>
      <c r="B68">
        <v>8.1999999999999993</v>
      </c>
      <c r="C68">
        <v>2.0999999999999999E-3</v>
      </c>
      <c r="D68">
        <f>Sheet1!$J$3*Sheet1!$M$6*Sheet2!C68</f>
        <v>2.0527499999999996</v>
      </c>
      <c r="E68">
        <f>D68*EXP(-B68*Sheet1!$J$13*Sheet1!$B$57)</f>
        <v>0.6051217094028426</v>
      </c>
    </row>
    <row r="69" spans="1:5" x14ac:dyDescent="0.25">
      <c r="A69">
        <v>467</v>
      </c>
      <c r="B69">
        <v>8.1999999999999993</v>
      </c>
      <c r="C69">
        <v>2.0999999999999999E-3</v>
      </c>
      <c r="D69">
        <f>Sheet1!$J$3*Sheet1!$M$6*Sheet2!C69</f>
        <v>2.0527499999999996</v>
      </c>
      <c r="E69">
        <f>D69*EXP(-B69*Sheet1!$J$13*Sheet1!$B$57)</f>
        <v>0.6051217094028426</v>
      </c>
    </row>
    <row r="70" spans="1:5" x14ac:dyDescent="0.25">
      <c r="A70">
        <v>468</v>
      </c>
      <c r="B70">
        <v>8.1999999999999993</v>
      </c>
      <c r="C70">
        <v>2.0999999999999999E-3</v>
      </c>
      <c r="D70">
        <f>Sheet1!$J$3*Sheet1!$M$6*Sheet2!C70</f>
        <v>2.0527499999999996</v>
      </c>
      <c r="E70">
        <f>D70*EXP(-B70*Sheet1!$J$13*Sheet1!$B$57)</f>
        <v>0.6051217094028426</v>
      </c>
    </row>
    <row r="71" spans="1:5" x14ac:dyDescent="0.25">
      <c r="A71">
        <v>469</v>
      </c>
      <c r="B71">
        <v>8.1</v>
      </c>
      <c r="C71">
        <v>2.0999999999999999E-3</v>
      </c>
      <c r="D71">
        <f>Sheet1!$J$3*Sheet1!$M$6*Sheet2!C71</f>
        <v>2.0527499999999996</v>
      </c>
      <c r="E71">
        <f>D71*EXP(-B71*Sheet1!$J$13*Sheet1!$B$57)</f>
        <v>0.61420332732220484</v>
      </c>
    </row>
    <row r="72" spans="1:5" x14ac:dyDescent="0.25">
      <c r="A72">
        <v>470</v>
      </c>
      <c r="B72">
        <v>8.1999999999999993</v>
      </c>
      <c r="C72">
        <v>2.0999999999999999E-3</v>
      </c>
      <c r="D72">
        <f>Sheet1!$J$3*Sheet1!$M$6*Sheet2!C72</f>
        <v>2.0527499999999996</v>
      </c>
      <c r="E72">
        <f>D72*EXP(-B72*Sheet1!$J$13*Sheet1!$B$57)</f>
        <v>0.6051217094028426</v>
      </c>
    </row>
    <row r="73" spans="1:5" x14ac:dyDescent="0.25">
      <c r="A73">
        <v>471</v>
      </c>
      <c r="B73">
        <v>8.1999999999999993</v>
      </c>
      <c r="C73">
        <v>2.0999999999999999E-3</v>
      </c>
      <c r="D73">
        <f>Sheet1!$J$3*Sheet1!$M$6*Sheet2!C73</f>
        <v>2.0527499999999996</v>
      </c>
      <c r="E73">
        <f>D73*EXP(-B73*Sheet1!$J$13*Sheet1!$B$57)</f>
        <v>0.6051217094028426</v>
      </c>
    </row>
    <row r="74" spans="1:5" x14ac:dyDescent="0.25">
      <c r="A74">
        <v>472</v>
      </c>
      <c r="B74">
        <v>8.1999999999999993</v>
      </c>
      <c r="C74">
        <v>2.0999999999999999E-3</v>
      </c>
      <c r="D74">
        <f>Sheet1!$J$3*Sheet1!$M$6*Sheet2!C74</f>
        <v>2.0527499999999996</v>
      </c>
      <c r="E74">
        <f>D74*EXP(-B74*Sheet1!$J$13*Sheet1!$B$57)</f>
        <v>0.6051217094028426</v>
      </c>
    </row>
    <row r="75" spans="1:5" x14ac:dyDescent="0.25">
      <c r="A75">
        <v>473</v>
      </c>
      <c r="B75">
        <v>8.1999999999999993</v>
      </c>
      <c r="C75">
        <v>2.0999999999999999E-3</v>
      </c>
      <c r="D75">
        <f>Sheet1!$J$3*Sheet1!$M$6*Sheet2!C75</f>
        <v>2.0527499999999996</v>
      </c>
      <c r="E75">
        <f>D75*EXP(-B75*Sheet1!$J$13*Sheet1!$B$57)</f>
        <v>0.6051217094028426</v>
      </c>
    </row>
    <row r="76" spans="1:5" x14ac:dyDescent="0.25">
      <c r="A76">
        <v>474</v>
      </c>
      <c r="B76">
        <v>8.1999999999999993</v>
      </c>
      <c r="C76">
        <v>2.0999999999999999E-3</v>
      </c>
      <c r="D76">
        <f>Sheet1!$J$3*Sheet1!$M$6*Sheet2!C76</f>
        <v>2.0527499999999996</v>
      </c>
      <c r="E76">
        <f>D76*EXP(-B76*Sheet1!$J$13*Sheet1!$B$57)</f>
        <v>0.6051217094028426</v>
      </c>
    </row>
    <row r="77" spans="1:5" x14ac:dyDescent="0.25">
      <c r="A77">
        <v>475</v>
      </c>
      <c r="B77">
        <v>8.1999999999999993</v>
      </c>
      <c r="C77">
        <v>2.0999999999999999E-3</v>
      </c>
      <c r="D77">
        <f>Sheet1!$J$3*Sheet1!$M$6*Sheet2!C77</f>
        <v>2.0527499999999996</v>
      </c>
      <c r="E77">
        <f>D77*EXP(-B77*Sheet1!$J$13*Sheet1!$B$57)</f>
        <v>0.6051217094028426</v>
      </c>
    </row>
    <row r="78" spans="1:5" x14ac:dyDescent="0.25">
      <c r="A78">
        <v>476</v>
      </c>
      <c r="B78">
        <v>8.1999999999999993</v>
      </c>
      <c r="C78">
        <v>2.0999999999999999E-3</v>
      </c>
      <c r="D78">
        <f>Sheet1!$J$3*Sheet1!$M$6*Sheet2!C78</f>
        <v>2.0527499999999996</v>
      </c>
      <c r="E78">
        <f>D78*EXP(-B78*Sheet1!$J$13*Sheet1!$B$57)</f>
        <v>0.6051217094028426</v>
      </c>
    </row>
    <row r="79" spans="1:5" x14ac:dyDescent="0.25">
      <c r="A79">
        <v>477</v>
      </c>
      <c r="B79">
        <v>8.1999999999999993</v>
      </c>
      <c r="C79">
        <v>2.0999999999999999E-3</v>
      </c>
      <c r="D79">
        <f>Sheet1!$J$3*Sheet1!$M$6*Sheet2!C79</f>
        <v>2.0527499999999996</v>
      </c>
      <c r="E79">
        <f>D79*EXP(-B79*Sheet1!$J$13*Sheet1!$B$57)</f>
        <v>0.6051217094028426</v>
      </c>
    </row>
    <row r="80" spans="1:5" x14ac:dyDescent="0.25">
      <c r="A80">
        <v>478</v>
      </c>
      <c r="B80">
        <v>8.1999999999999993</v>
      </c>
      <c r="C80">
        <v>2.0999999999999999E-3</v>
      </c>
      <c r="D80">
        <f>Sheet1!$J$3*Sheet1!$M$6*Sheet2!C80</f>
        <v>2.0527499999999996</v>
      </c>
      <c r="E80">
        <f>D80*EXP(-B80*Sheet1!$J$13*Sheet1!$B$57)</f>
        <v>0.6051217094028426</v>
      </c>
    </row>
    <row r="81" spans="1:5" x14ac:dyDescent="0.25">
      <c r="A81">
        <v>479</v>
      </c>
      <c r="B81">
        <v>8.1999999999999993</v>
      </c>
      <c r="C81">
        <v>2.0999999999999999E-3</v>
      </c>
      <c r="D81">
        <f>Sheet1!$J$3*Sheet1!$M$6*Sheet2!C81</f>
        <v>2.0527499999999996</v>
      </c>
      <c r="E81">
        <f>D81*EXP(-B81*Sheet1!$J$13*Sheet1!$B$57)</f>
        <v>0.6051217094028426</v>
      </c>
    </row>
    <row r="82" spans="1:5" x14ac:dyDescent="0.25">
      <c r="A82">
        <v>480</v>
      </c>
      <c r="B82">
        <v>8.1999999999999993</v>
      </c>
      <c r="C82">
        <v>2.0999999999999999E-3</v>
      </c>
      <c r="D82">
        <f>Sheet1!$J$3*Sheet1!$M$6*Sheet2!C82</f>
        <v>2.0527499999999996</v>
      </c>
      <c r="E82">
        <f>D82*EXP(-B82*Sheet1!$J$13*Sheet1!$B$57)</f>
        <v>0.6051217094028426</v>
      </c>
    </row>
    <row r="83" spans="1:5" x14ac:dyDescent="0.25">
      <c r="A83">
        <v>481</v>
      </c>
      <c r="B83">
        <v>8.1</v>
      </c>
      <c r="C83">
        <v>2.0999999999999999E-3</v>
      </c>
      <c r="D83">
        <f>Sheet1!$J$3*Sheet1!$M$6*Sheet2!C83</f>
        <v>2.0527499999999996</v>
      </c>
      <c r="E83">
        <f>D83*EXP(-B83*Sheet1!$J$13*Sheet1!$B$57)</f>
        <v>0.61420332732220484</v>
      </c>
    </row>
    <row r="84" spans="1:5" x14ac:dyDescent="0.25">
      <c r="A84">
        <v>482</v>
      </c>
      <c r="B84">
        <v>8.1</v>
      </c>
      <c r="C84">
        <v>2.0999999999999999E-3</v>
      </c>
      <c r="D84">
        <f>Sheet1!$J$3*Sheet1!$M$6*Sheet2!C84</f>
        <v>2.0527499999999996</v>
      </c>
      <c r="E84">
        <f>D84*EXP(-B84*Sheet1!$J$13*Sheet1!$B$57)</f>
        <v>0.61420332732220484</v>
      </c>
    </row>
    <row r="85" spans="1:5" x14ac:dyDescent="0.25">
      <c r="A85">
        <v>483</v>
      </c>
      <c r="B85">
        <v>8.1</v>
      </c>
      <c r="C85">
        <v>2.0999999999999999E-3</v>
      </c>
      <c r="D85">
        <f>Sheet1!$J$3*Sheet1!$M$6*Sheet2!C85</f>
        <v>2.0527499999999996</v>
      </c>
      <c r="E85">
        <f>D85*EXP(-B85*Sheet1!$J$13*Sheet1!$B$57)</f>
        <v>0.61420332732220484</v>
      </c>
    </row>
    <row r="86" spans="1:5" x14ac:dyDescent="0.25">
      <c r="A86">
        <v>484</v>
      </c>
      <c r="B86">
        <v>8.1</v>
      </c>
      <c r="C86">
        <v>2.0999999999999999E-3</v>
      </c>
      <c r="D86">
        <f>Sheet1!$J$3*Sheet1!$M$6*Sheet2!C86</f>
        <v>2.0527499999999996</v>
      </c>
      <c r="E86">
        <f>D86*EXP(-B86*Sheet1!$J$13*Sheet1!$B$57)</f>
        <v>0.61420332732220484</v>
      </c>
    </row>
    <row r="87" spans="1:5" x14ac:dyDescent="0.25">
      <c r="A87">
        <v>485</v>
      </c>
      <c r="B87">
        <v>7.9</v>
      </c>
      <c r="C87">
        <v>2.0999999999999999E-3</v>
      </c>
      <c r="D87">
        <f>Sheet1!$J$3*Sheet1!$M$6*Sheet2!C87</f>
        <v>2.0527499999999996</v>
      </c>
      <c r="E87">
        <f>D87*EXP(-B87*Sheet1!$J$13*Sheet1!$B$57)</f>
        <v>0.6327774972559479</v>
      </c>
    </row>
    <row r="88" spans="1:5" x14ac:dyDescent="0.25">
      <c r="A88">
        <v>486</v>
      </c>
      <c r="B88">
        <v>7.8</v>
      </c>
      <c r="C88">
        <v>2.0999999999999999E-3</v>
      </c>
      <c r="D88">
        <f>Sheet1!$J$3*Sheet1!$M$6*Sheet2!C88</f>
        <v>2.0527499999999996</v>
      </c>
      <c r="E88">
        <f>D88*EXP(-B88*Sheet1!$J$13*Sheet1!$B$57)</f>
        <v>0.64227417101389306</v>
      </c>
    </row>
    <row r="89" spans="1:5" x14ac:dyDescent="0.25">
      <c r="A89">
        <v>487</v>
      </c>
      <c r="B89">
        <v>7.8</v>
      </c>
      <c r="C89">
        <v>2.0999999999999999E-3</v>
      </c>
      <c r="D89">
        <f>Sheet1!$J$3*Sheet1!$M$6*Sheet2!C89</f>
        <v>2.0527499999999996</v>
      </c>
      <c r="E89">
        <f>D89*EXP(-B89*Sheet1!$J$13*Sheet1!$B$57)</f>
        <v>0.64227417101389306</v>
      </c>
    </row>
    <row r="90" spans="1:5" x14ac:dyDescent="0.25">
      <c r="A90">
        <v>488</v>
      </c>
      <c r="B90">
        <v>7.7</v>
      </c>
      <c r="C90">
        <v>2.0999999999999999E-3</v>
      </c>
      <c r="D90">
        <f>Sheet1!$J$3*Sheet1!$M$6*Sheet2!C90</f>
        <v>2.0527499999999996</v>
      </c>
      <c r="E90">
        <f>D90*EXP(-B90*Sheet1!$J$13*Sheet1!$B$57)</f>
        <v>0.65191337008738104</v>
      </c>
    </row>
    <row r="91" spans="1:5" x14ac:dyDescent="0.25">
      <c r="A91">
        <v>489</v>
      </c>
      <c r="B91">
        <v>7.6</v>
      </c>
      <c r="C91">
        <v>2.0999999999999999E-3</v>
      </c>
      <c r="D91">
        <f>Sheet1!$J$3*Sheet1!$M$6*Sheet2!C91</f>
        <v>2.0527499999999996</v>
      </c>
      <c r="E91">
        <f>D91*EXP(-B91*Sheet1!$J$13*Sheet1!$B$57)</f>
        <v>0.6616972334848783</v>
      </c>
    </row>
    <row r="92" spans="1:5" x14ac:dyDescent="0.25">
      <c r="A92">
        <v>490</v>
      </c>
      <c r="B92">
        <v>7.3</v>
      </c>
      <c r="C92">
        <v>2.0999999999999999E-3</v>
      </c>
      <c r="D92">
        <f>Sheet1!$J$3*Sheet1!$M$6*Sheet2!C92</f>
        <v>2.0527499999999996</v>
      </c>
      <c r="E92">
        <f>D92*EXP(-B92*Sheet1!$J$13*Sheet1!$B$57)</f>
        <v>0.69193868413503512</v>
      </c>
    </row>
    <row r="93" spans="1:5" x14ac:dyDescent="0.25">
      <c r="A93">
        <v>491</v>
      </c>
      <c r="B93">
        <v>7.2</v>
      </c>
      <c r="C93">
        <v>2.0999999999999999E-3</v>
      </c>
      <c r="D93">
        <f>Sheet1!$J$3*Sheet1!$M$6*Sheet2!C93</f>
        <v>2.0527499999999996</v>
      </c>
      <c r="E93">
        <f>D93*EXP(-B93*Sheet1!$J$13*Sheet1!$B$57)</f>
        <v>0.70232324422484238</v>
      </c>
    </row>
    <row r="94" spans="1:5" x14ac:dyDescent="0.25">
      <c r="A94">
        <v>492</v>
      </c>
      <c r="B94">
        <v>7</v>
      </c>
      <c r="C94">
        <v>2.0999999999999999E-3</v>
      </c>
      <c r="D94">
        <f>Sheet1!$J$3*Sheet1!$M$6*Sheet2!C94</f>
        <v>2.0527499999999996</v>
      </c>
      <c r="E94">
        <f>D94*EXP(-B94*Sheet1!$J$13*Sheet1!$B$57)</f>
        <v>0.7235622553248372</v>
      </c>
    </row>
    <row r="95" spans="1:5" x14ac:dyDescent="0.25">
      <c r="A95">
        <v>493</v>
      </c>
      <c r="B95">
        <v>6.9</v>
      </c>
      <c r="C95">
        <v>2.0999999999999999E-3</v>
      </c>
      <c r="D95">
        <f>Sheet1!$J$3*Sheet1!$M$6*Sheet2!C95</f>
        <v>2.0527499999999996</v>
      </c>
      <c r="E95">
        <f>D95*EXP(-B95*Sheet1!$J$13*Sheet1!$B$57)</f>
        <v>0.73442141942624883</v>
      </c>
    </row>
    <row r="96" spans="1:5" x14ac:dyDescent="0.25">
      <c r="A96">
        <v>494</v>
      </c>
      <c r="B96">
        <v>6.7</v>
      </c>
      <c r="C96">
        <v>2.0999999999999999E-3</v>
      </c>
      <c r="D96">
        <f>Sheet1!$J$3*Sheet1!$M$6*Sheet2!C96</f>
        <v>2.0527499999999996</v>
      </c>
      <c r="E96">
        <f>D96*EXP(-B96*Sheet1!$J$13*Sheet1!$B$57)</f>
        <v>0.75663111390458593</v>
      </c>
    </row>
    <row r="97" spans="1:5" x14ac:dyDescent="0.25">
      <c r="A97">
        <v>495</v>
      </c>
      <c r="B97">
        <v>6.5</v>
      </c>
      <c r="C97">
        <v>2.0999999999999999E-3</v>
      </c>
      <c r="D97">
        <f>Sheet1!$J$3*Sheet1!$M$6*Sheet2!C97</f>
        <v>2.0527499999999996</v>
      </c>
      <c r="E97">
        <f>D97*EXP(-B97*Sheet1!$J$13*Sheet1!$B$57)</f>
        <v>0.77951245345722686</v>
      </c>
    </row>
    <row r="98" spans="1:5" x14ac:dyDescent="0.25">
      <c r="A98">
        <v>496</v>
      </c>
      <c r="B98">
        <v>6.4</v>
      </c>
      <c r="C98">
        <v>2.0999999999999999E-3</v>
      </c>
      <c r="D98">
        <f>Sheet1!$J$3*Sheet1!$M$6*Sheet2!C98</f>
        <v>2.0527499999999996</v>
      </c>
      <c r="E98">
        <f>D98*EXP(-B98*Sheet1!$J$13*Sheet1!$B$57)</f>
        <v>0.79121131362978481</v>
      </c>
    </row>
    <row r="99" spans="1:5" x14ac:dyDescent="0.25">
      <c r="A99">
        <v>497</v>
      </c>
      <c r="B99">
        <v>6.1</v>
      </c>
      <c r="C99">
        <v>2.0999999999999999E-3</v>
      </c>
      <c r="D99">
        <f>Sheet1!$J$3*Sheet1!$M$6*Sheet2!C99</f>
        <v>2.0527499999999996</v>
      </c>
      <c r="E99">
        <f>D99*EXP(-B99*Sheet1!$J$13*Sheet1!$B$57)</f>
        <v>0.82737192710094254</v>
      </c>
    </row>
    <row r="100" spans="1:5" x14ac:dyDescent="0.25">
      <c r="A100">
        <v>498</v>
      </c>
      <c r="B100">
        <v>6</v>
      </c>
      <c r="C100">
        <v>2.0999999999999999E-3</v>
      </c>
      <c r="D100">
        <f>Sheet1!$J$3*Sheet1!$M$6*Sheet2!C100</f>
        <v>2.0527499999999996</v>
      </c>
      <c r="E100">
        <f>D100*EXP(-B100*Sheet1!$J$13*Sheet1!$B$57)</f>
        <v>0.83978905840259777</v>
      </c>
    </row>
    <row r="101" spans="1:5" x14ac:dyDescent="0.25">
      <c r="A101">
        <v>499</v>
      </c>
      <c r="B101">
        <v>5.8</v>
      </c>
      <c r="C101">
        <v>2.0999999999999999E-3</v>
      </c>
      <c r="D101">
        <f>Sheet1!$J$3*Sheet1!$M$6*Sheet2!C101</f>
        <v>2.0527499999999996</v>
      </c>
      <c r="E101">
        <f>D101*EXP(-B101*Sheet1!$J$13*Sheet1!$B$57)</f>
        <v>0.86518518373339626</v>
      </c>
    </row>
    <row r="102" spans="1:5" x14ac:dyDescent="0.25">
      <c r="A102">
        <v>500</v>
      </c>
      <c r="B102">
        <v>5.6</v>
      </c>
      <c r="C102">
        <v>1.9599999999999999E-3</v>
      </c>
      <c r="D102">
        <f>Sheet1!$J$3*Sheet1!$M$6*Sheet2!C102</f>
        <v>1.9158999999999997</v>
      </c>
      <c r="E102">
        <f>D102*EXP(-B102*Sheet1!$J$13*Sheet1!$B$57)</f>
        <v>0.83192602755576706</v>
      </c>
    </row>
    <row r="103" spans="1:5" x14ac:dyDescent="0.25">
      <c r="A103">
        <v>501</v>
      </c>
      <c r="B103">
        <v>5.4</v>
      </c>
      <c r="C103">
        <v>1.9599999999999999E-3</v>
      </c>
      <c r="D103">
        <f>Sheet1!$J$3*Sheet1!$M$6*Sheet2!C103</f>
        <v>1.9158999999999997</v>
      </c>
      <c r="E103">
        <f>D103*EXP(-B103*Sheet1!$J$13*Sheet1!$B$57)</f>
        <v>0.85708436636759611</v>
      </c>
    </row>
    <row r="104" spans="1:5" x14ac:dyDescent="0.25">
      <c r="A104">
        <v>502</v>
      </c>
      <c r="B104">
        <v>5.0999999999999996</v>
      </c>
      <c r="C104">
        <v>1.9599999999999999E-3</v>
      </c>
      <c r="D104">
        <f>Sheet1!$J$3*Sheet1!$M$6*Sheet2!C104</f>
        <v>1.9158999999999997</v>
      </c>
      <c r="E104">
        <f>D104*EXP(-B104*Sheet1!$J$13*Sheet1!$B$57)</f>
        <v>0.89625556621079305</v>
      </c>
    </row>
    <row r="105" spans="1:5" x14ac:dyDescent="0.25">
      <c r="A105">
        <v>503</v>
      </c>
      <c r="B105">
        <v>4.9000000000000004</v>
      </c>
      <c r="C105">
        <v>1.9599999999999999E-3</v>
      </c>
      <c r="D105">
        <f>Sheet1!$J$3*Sheet1!$M$6*Sheet2!C105</f>
        <v>1.9158999999999997</v>
      </c>
      <c r="E105">
        <f>D105*EXP(-B105*Sheet1!$J$13*Sheet1!$B$57)</f>
        <v>0.92335929953545726</v>
      </c>
    </row>
    <row r="106" spans="1:5" x14ac:dyDescent="0.25">
      <c r="A106">
        <v>504</v>
      </c>
      <c r="B106">
        <v>4.7</v>
      </c>
      <c r="C106">
        <v>1.9599999999999999E-3</v>
      </c>
      <c r="D106">
        <f>Sheet1!$J$3*Sheet1!$M$6*Sheet2!C106</f>
        <v>1.9158999999999997</v>
      </c>
      <c r="E106">
        <f>D106*EXP(-B106*Sheet1!$J$13*Sheet1!$B$57)</f>
        <v>0.95128267893857255</v>
      </c>
    </row>
    <row r="107" spans="1:5" x14ac:dyDescent="0.25">
      <c r="A107">
        <v>505</v>
      </c>
      <c r="B107">
        <v>4.5</v>
      </c>
      <c r="C107">
        <v>1.9599999999999999E-3</v>
      </c>
      <c r="D107">
        <f>Sheet1!$J$3*Sheet1!$M$6*Sheet2!C107</f>
        <v>1.9158999999999997</v>
      </c>
      <c r="E107">
        <f>D107*EXP(-B107*Sheet1!$J$13*Sheet1!$B$57)</f>
        <v>0.98005049140006806</v>
      </c>
    </row>
    <row r="108" spans="1:5" x14ac:dyDescent="0.25">
      <c r="A108">
        <v>506</v>
      </c>
      <c r="B108">
        <v>4.4000000000000004</v>
      </c>
      <c r="C108">
        <v>1.9599999999999999E-3</v>
      </c>
      <c r="D108">
        <f>Sheet1!$J$3*Sheet1!$M$6*Sheet2!C108</f>
        <v>1.9158999999999997</v>
      </c>
      <c r="E108">
        <f>D108*EXP(-B108*Sheet1!$J$13*Sheet1!$B$57)</f>
        <v>0.99475901030837477</v>
      </c>
    </row>
    <row r="109" spans="1:5" x14ac:dyDescent="0.25">
      <c r="A109">
        <v>507</v>
      </c>
      <c r="B109">
        <v>4.0999999999999996</v>
      </c>
      <c r="C109">
        <v>1.9599999999999999E-3</v>
      </c>
      <c r="D109">
        <f>Sheet1!$J$3*Sheet1!$M$6*Sheet2!C109</f>
        <v>1.9158999999999997</v>
      </c>
      <c r="E109">
        <f>D109*EXP(-B109*Sheet1!$J$13*Sheet1!$B$57)</f>
        <v>1.0402223340109775</v>
      </c>
    </row>
    <row r="110" spans="1:5" x14ac:dyDescent="0.25">
      <c r="A110">
        <v>508</v>
      </c>
      <c r="B110">
        <v>4</v>
      </c>
      <c r="C110">
        <v>1.9599999999999999E-3</v>
      </c>
      <c r="D110">
        <f>Sheet1!$J$3*Sheet1!$M$6*Sheet2!C110</f>
        <v>1.9158999999999997</v>
      </c>
      <c r="E110">
        <f>D110*EXP(-B110*Sheet1!$J$13*Sheet1!$B$57)</f>
        <v>1.0558339070910401</v>
      </c>
    </row>
    <row r="111" spans="1:5" x14ac:dyDescent="0.25">
      <c r="A111">
        <v>509</v>
      </c>
      <c r="B111">
        <v>3.7</v>
      </c>
      <c r="C111">
        <v>1.9599999999999999E-3</v>
      </c>
      <c r="D111">
        <f>Sheet1!$J$3*Sheet1!$M$6*Sheet2!C111</f>
        <v>1.9158999999999997</v>
      </c>
      <c r="E111">
        <f>D111*EXP(-B111*Sheet1!$J$13*Sheet1!$B$57)</f>
        <v>1.1040885277547756</v>
      </c>
    </row>
    <row r="112" spans="1:5" x14ac:dyDescent="0.25">
      <c r="A112">
        <v>510</v>
      </c>
      <c r="B112">
        <v>3.6</v>
      </c>
      <c r="C112">
        <v>1.9599999999999999E-3</v>
      </c>
      <c r="D112">
        <f>Sheet1!$J$3*Sheet1!$M$6*Sheet2!C112</f>
        <v>1.9158999999999997</v>
      </c>
      <c r="E112">
        <f>D112*EXP(-B112*Sheet1!$J$13*Sheet1!$B$57)</f>
        <v>1.1206585995311047</v>
      </c>
    </row>
    <row r="113" spans="1:5" x14ac:dyDescent="0.25">
      <c r="A113">
        <v>511</v>
      </c>
      <c r="B113">
        <v>3.5</v>
      </c>
      <c r="C113">
        <v>1.9599999999999999E-3</v>
      </c>
      <c r="D113">
        <f>Sheet1!$J$3*Sheet1!$M$6*Sheet2!C113</f>
        <v>1.9158999999999997</v>
      </c>
      <c r="E113">
        <f>D113*EXP(-B113*Sheet1!$J$13*Sheet1!$B$57)</f>
        <v>1.1374773536112261</v>
      </c>
    </row>
    <row r="114" spans="1:5" x14ac:dyDescent="0.25">
      <c r="A114">
        <v>512</v>
      </c>
      <c r="B114">
        <v>3.2</v>
      </c>
      <c r="C114">
        <v>1.9599999999999999E-3</v>
      </c>
      <c r="D114">
        <f>Sheet1!$J$3*Sheet1!$M$6*Sheet2!C114</f>
        <v>1.9158999999999997</v>
      </c>
      <c r="E114">
        <f>D114*EXP(-B114*Sheet1!$J$13*Sheet1!$B$57)</f>
        <v>1.1894633126180973</v>
      </c>
    </row>
    <row r="115" spans="1:5" x14ac:dyDescent="0.25">
      <c r="A115">
        <v>513</v>
      </c>
      <c r="B115">
        <v>3.1</v>
      </c>
      <c r="C115">
        <v>1.9599999999999999E-3</v>
      </c>
      <c r="D115">
        <f>Sheet1!$J$3*Sheet1!$M$6*Sheet2!C115</f>
        <v>1.9158999999999997</v>
      </c>
      <c r="E115">
        <f>D115*EXP(-B115*Sheet1!$J$13*Sheet1!$B$57)</f>
        <v>1.2073146822953755</v>
      </c>
    </row>
    <row r="116" spans="1:5" x14ac:dyDescent="0.25">
      <c r="A116">
        <v>514</v>
      </c>
      <c r="B116">
        <v>2.9</v>
      </c>
      <c r="C116">
        <v>1.9599999999999999E-3</v>
      </c>
      <c r="D116">
        <f>Sheet1!$J$3*Sheet1!$M$6*Sheet2!C116</f>
        <v>1.9158999999999997</v>
      </c>
      <c r="E116">
        <f>D116*EXP(-B116*Sheet1!$J$13*Sheet1!$B$57)</f>
        <v>1.2438251782092045</v>
      </c>
    </row>
    <row r="117" spans="1:5" x14ac:dyDescent="0.25">
      <c r="A117">
        <v>515</v>
      </c>
      <c r="B117">
        <v>2.7</v>
      </c>
      <c r="C117">
        <v>1.9599999999999999E-3</v>
      </c>
      <c r="D117">
        <f>Sheet1!$J$3*Sheet1!$M$6*Sheet2!C117</f>
        <v>1.9158999999999997</v>
      </c>
      <c r="E117">
        <f>D117*EXP(-B117*Sheet1!$J$13*Sheet1!$B$57)</f>
        <v>1.2814397908304849</v>
      </c>
    </row>
    <row r="118" spans="1:5" x14ac:dyDescent="0.25">
      <c r="A118">
        <v>516</v>
      </c>
      <c r="B118">
        <v>2.6</v>
      </c>
      <c r="C118">
        <v>1.9599999999999999E-3</v>
      </c>
      <c r="D118">
        <f>Sheet1!$J$3*Sheet1!$M$6*Sheet2!C118</f>
        <v>1.9158999999999997</v>
      </c>
      <c r="E118">
        <f>D118*EXP(-B118*Sheet1!$J$13*Sheet1!$B$57)</f>
        <v>1.3006715360912433</v>
      </c>
    </row>
    <row r="119" spans="1:5" x14ac:dyDescent="0.25">
      <c r="A119">
        <v>517</v>
      </c>
      <c r="B119">
        <v>2.4</v>
      </c>
      <c r="C119">
        <v>1.9599999999999999E-3</v>
      </c>
      <c r="D119">
        <f>Sheet1!$J$3*Sheet1!$M$6*Sheet2!C119</f>
        <v>1.9158999999999997</v>
      </c>
      <c r="E119">
        <f>D119*EXP(-B119*Sheet1!$J$13*Sheet1!$B$57)</f>
        <v>1.3400052437816088</v>
      </c>
    </row>
    <row r="120" spans="1:5" x14ac:dyDescent="0.25">
      <c r="A120">
        <v>518</v>
      </c>
      <c r="B120">
        <v>2.2000000000000002</v>
      </c>
      <c r="C120">
        <v>1.9599999999999999E-3</v>
      </c>
      <c r="D120">
        <f>Sheet1!$J$3*Sheet1!$M$6*Sheet2!C120</f>
        <v>1.9158999999999997</v>
      </c>
      <c r="E120">
        <f>D120*EXP(-B120*Sheet1!$J$13*Sheet1!$B$57)</f>
        <v>1.3805284451433135</v>
      </c>
    </row>
    <row r="121" spans="1:5" x14ac:dyDescent="0.25">
      <c r="A121">
        <v>519</v>
      </c>
      <c r="B121">
        <v>2.2000000000000002</v>
      </c>
      <c r="C121">
        <v>1.9599999999999999E-3</v>
      </c>
      <c r="D121">
        <f>Sheet1!$J$3*Sheet1!$M$6*Sheet2!C121</f>
        <v>1.9158999999999997</v>
      </c>
      <c r="E121">
        <f>D121*EXP(-B121*Sheet1!$J$13*Sheet1!$B$57)</f>
        <v>1.3805284451433135</v>
      </c>
    </row>
    <row r="122" spans="1:5" x14ac:dyDescent="0.25">
      <c r="A122">
        <v>520</v>
      </c>
      <c r="B122">
        <v>2</v>
      </c>
      <c r="C122">
        <v>1.9599999999999999E-3</v>
      </c>
      <c r="D122">
        <f>Sheet1!$J$3*Sheet1!$M$6*Sheet2!C122</f>
        <v>1.9158999999999997</v>
      </c>
      <c r="E122">
        <f>D122*EXP(-B122*Sheet1!$J$13*Sheet1!$B$57)</f>
        <v>1.4222771117457116</v>
      </c>
    </row>
    <row r="123" spans="1:5" x14ac:dyDescent="0.25">
      <c r="A123">
        <v>521</v>
      </c>
      <c r="B123">
        <v>1.9</v>
      </c>
      <c r="C123">
        <v>1.9599999999999999E-3</v>
      </c>
      <c r="D123">
        <f>Sheet1!$J$3*Sheet1!$M$6*Sheet2!C123</f>
        <v>1.9158999999999997</v>
      </c>
      <c r="E123">
        <f>D123*EXP(-B123*Sheet1!$J$13*Sheet1!$B$57)</f>
        <v>1.4436225321853045</v>
      </c>
    </row>
    <row r="124" spans="1:5" x14ac:dyDescent="0.25">
      <c r="A124">
        <v>522</v>
      </c>
      <c r="B124">
        <v>1.9</v>
      </c>
      <c r="C124">
        <v>1.9599999999999999E-3</v>
      </c>
      <c r="D124">
        <f>Sheet1!$J$3*Sheet1!$M$6*Sheet2!C124</f>
        <v>1.9158999999999997</v>
      </c>
      <c r="E124">
        <f>D124*EXP(-B124*Sheet1!$J$13*Sheet1!$B$57)</f>
        <v>1.4436225321853045</v>
      </c>
    </row>
    <row r="125" spans="1:5" x14ac:dyDescent="0.25">
      <c r="A125">
        <v>523</v>
      </c>
      <c r="B125">
        <v>1.8</v>
      </c>
      <c r="C125">
        <v>1.9599999999999999E-3</v>
      </c>
      <c r="D125">
        <f>Sheet1!$J$3*Sheet1!$M$6*Sheet2!C125</f>
        <v>1.9158999999999997</v>
      </c>
      <c r="E125">
        <f>D125*EXP(-B125*Sheet1!$J$13*Sheet1!$B$57)</f>
        <v>1.4652883029771455</v>
      </c>
    </row>
    <row r="126" spans="1:5" x14ac:dyDescent="0.25">
      <c r="A126">
        <v>524</v>
      </c>
      <c r="B126">
        <v>1.8</v>
      </c>
      <c r="C126">
        <v>1.9599999999999999E-3</v>
      </c>
      <c r="D126">
        <f>Sheet1!$J$3*Sheet1!$M$6*Sheet2!C126</f>
        <v>1.9158999999999997</v>
      </c>
      <c r="E126">
        <f>D126*EXP(-B126*Sheet1!$J$13*Sheet1!$B$57)</f>
        <v>1.4652883029771455</v>
      </c>
    </row>
    <row r="127" spans="1:5" x14ac:dyDescent="0.25">
      <c r="A127">
        <v>525</v>
      </c>
      <c r="B127">
        <v>1.7</v>
      </c>
      <c r="C127">
        <v>1.9599999999999999E-3</v>
      </c>
      <c r="D127">
        <f>Sheet1!$J$3*Sheet1!$M$6*Sheet2!C127</f>
        <v>1.9158999999999997</v>
      </c>
      <c r="E127">
        <f>D127*EXP(-B127*Sheet1!$J$13*Sheet1!$B$57)</f>
        <v>1.4872792319135431</v>
      </c>
    </row>
    <row r="128" spans="1:5" x14ac:dyDescent="0.25">
      <c r="A128">
        <v>526</v>
      </c>
      <c r="B128">
        <v>1.7</v>
      </c>
      <c r="C128">
        <v>1.9599999999999999E-3</v>
      </c>
      <c r="D128">
        <f>Sheet1!$J$3*Sheet1!$M$6*Sheet2!C128</f>
        <v>1.9158999999999997</v>
      </c>
      <c r="E128">
        <f>D128*EXP(-B128*Sheet1!$J$13*Sheet1!$B$57)</f>
        <v>1.4872792319135431</v>
      </c>
    </row>
    <row r="129" spans="1:5" x14ac:dyDescent="0.25">
      <c r="A129">
        <v>527</v>
      </c>
      <c r="B129">
        <v>1.5</v>
      </c>
      <c r="C129">
        <v>1.9599999999999999E-3</v>
      </c>
      <c r="D129">
        <f>Sheet1!$J$3*Sheet1!$M$6*Sheet2!C129</f>
        <v>1.9158999999999997</v>
      </c>
      <c r="E129">
        <f>D129*EXP(-B129*Sheet1!$J$13*Sheet1!$B$57)</f>
        <v>1.5322561572469309</v>
      </c>
    </row>
    <row r="130" spans="1:5" x14ac:dyDescent="0.25">
      <c r="A130">
        <v>528</v>
      </c>
      <c r="B130">
        <v>1.5</v>
      </c>
      <c r="C130">
        <v>1.9599999999999999E-3</v>
      </c>
      <c r="D130">
        <f>Sheet1!$J$3*Sheet1!$M$6*Sheet2!C130</f>
        <v>1.9158999999999997</v>
      </c>
      <c r="E130">
        <f>D130*EXP(-B130*Sheet1!$J$13*Sheet1!$B$57)</f>
        <v>1.5322561572469309</v>
      </c>
    </row>
    <row r="131" spans="1:5" x14ac:dyDescent="0.25">
      <c r="A131">
        <v>529</v>
      </c>
      <c r="B131">
        <v>1.5</v>
      </c>
      <c r="C131">
        <v>1.9599999999999999E-3</v>
      </c>
      <c r="D131">
        <f>Sheet1!$J$3*Sheet1!$M$6*Sheet2!C131</f>
        <v>1.9158999999999997</v>
      </c>
      <c r="E131">
        <f>D131*EXP(-B131*Sheet1!$J$13*Sheet1!$B$57)</f>
        <v>1.5322561572469309</v>
      </c>
    </row>
    <row r="132" spans="1:5" x14ac:dyDescent="0.25">
      <c r="A132">
        <v>530</v>
      </c>
      <c r="B132">
        <v>1.4</v>
      </c>
      <c r="C132">
        <v>1.9599999999999999E-3</v>
      </c>
      <c r="D132">
        <f>Sheet1!$J$3*Sheet1!$M$6*Sheet2!C132</f>
        <v>1.9158999999999997</v>
      </c>
      <c r="E132">
        <f>D132*EXP(-B132*Sheet1!$J$13*Sheet1!$B$57)</f>
        <v>1.555252134351172</v>
      </c>
    </row>
    <row r="133" spans="1:5" x14ac:dyDescent="0.25">
      <c r="A133">
        <v>531</v>
      </c>
      <c r="B133">
        <v>1.4</v>
      </c>
      <c r="C133">
        <v>1.9599999999999999E-3</v>
      </c>
      <c r="D133">
        <f>Sheet1!$J$3*Sheet1!$M$6*Sheet2!C133</f>
        <v>1.9158999999999997</v>
      </c>
      <c r="E133">
        <f>D133*EXP(-B133*Sheet1!$J$13*Sheet1!$B$57)</f>
        <v>1.555252134351172</v>
      </c>
    </row>
    <row r="134" spans="1:5" x14ac:dyDescent="0.25">
      <c r="A134">
        <v>532</v>
      </c>
      <c r="B134">
        <v>1.4</v>
      </c>
      <c r="C134">
        <v>1.9599999999999999E-3</v>
      </c>
      <c r="D134">
        <f>Sheet1!$J$3*Sheet1!$M$6*Sheet2!C134</f>
        <v>1.9158999999999997</v>
      </c>
      <c r="E134">
        <f>D134*EXP(-B134*Sheet1!$J$13*Sheet1!$B$57)</f>
        <v>1.555252134351172</v>
      </c>
    </row>
    <row r="135" spans="1:5" x14ac:dyDescent="0.25">
      <c r="A135">
        <v>533</v>
      </c>
      <c r="B135">
        <v>1.4</v>
      </c>
      <c r="C135">
        <v>1.9599999999999999E-3</v>
      </c>
      <c r="D135">
        <f>Sheet1!$J$3*Sheet1!$M$6*Sheet2!C135</f>
        <v>1.9158999999999997</v>
      </c>
      <c r="E135">
        <f>D135*EXP(-B135*Sheet1!$J$13*Sheet1!$B$57)</f>
        <v>1.555252134351172</v>
      </c>
    </row>
    <row r="136" spans="1:5" x14ac:dyDescent="0.25">
      <c r="A136">
        <v>534</v>
      </c>
      <c r="B136">
        <v>1.3</v>
      </c>
      <c r="C136">
        <v>1.9599999999999999E-3</v>
      </c>
      <c r="D136">
        <f>Sheet1!$J$3*Sheet1!$M$6*Sheet2!C136</f>
        <v>1.9158999999999997</v>
      </c>
      <c r="E136">
        <f>D136*EXP(-B136*Sheet1!$J$13*Sheet1!$B$57)</f>
        <v>1.5785932332292612</v>
      </c>
    </row>
    <row r="137" spans="1:5" x14ac:dyDescent="0.25">
      <c r="A137">
        <v>535</v>
      </c>
      <c r="B137">
        <v>1.3</v>
      </c>
      <c r="C137">
        <v>1.9599999999999999E-3</v>
      </c>
      <c r="D137">
        <f>Sheet1!$J$3*Sheet1!$M$6*Sheet2!C137</f>
        <v>1.9158999999999997</v>
      </c>
      <c r="E137">
        <f>D137*EXP(-B137*Sheet1!$J$13*Sheet1!$B$57)</f>
        <v>1.5785932332292612</v>
      </c>
    </row>
    <row r="138" spans="1:5" x14ac:dyDescent="0.25">
      <c r="A138">
        <v>536</v>
      </c>
      <c r="B138">
        <v>1.3</v>
      </c>
      <c r="C138">
        <v>1.9599999999999999E-3</v>
      </c>
      <c r="D138">
        <f>Sheet1!$J$3*Sheet1!$M$6*Sheet2!C138</f>
        <v>1.9158999999999997</v>
      </c>
      <c r="E138">
        <f>D138*EXP(-B138*Sheet1!$J$13*Sheet1!$B$57)</f>
        <v>1.5785932332292612</v>
      </c>
    </row>
    <row r="139" spans="1:5" x14ac:dyDescent="0.25">
      <c r="A139">
        <v>537</v>
      </c>
      <c r="B139">
        <v>1.4</v>
      </c>
      <c r="C139">
        <v>1.9599999999999999E-3</v>
      </c>
      <c r="D139">
        <f>Sheet1!$J$3*Sheet1!$M$6*Sheet2!C139</f>
        <v>1.9158999999999997</v>
      </c>
      <c r="E139">
        <f>D139*EXP(-B139*Sheet1!$J$13*Sheet1!$B$57)</f>
        <v>1.555252134351172</v>
      </c>
    </row>
    <row r="140" spans="1:5" x14ac:dyDescent="0.25">
      <c r="A140">
        <v>538</v>
      </c>
      <c r="B140">
        <v>1.3</v>
      </c>
      <c r="C140">
        <v>1.9599999999999999E-3</v>
      </c>
      <c r="D140">
        <f>Sheet1!$J$3*Sheet1!$M$6*Sheet2!C140</f>
        <v>1.9158999999999997</v>
      </c>
      <c r="E140">
        <f>D140*EXP(-B140*Sheet1!$J$13*Sheet1!$B$57)</f>
        <v>1.5785932332292612</v>
      </c>
    </row>
    <row r="141" spans="1:5" x14ac:dyDescent="0.25">
      <c r="A141">
        <v>539</v>
      </c>
      <c r="B141">
        <v>1.3</v>
      </c>
      <c r="C141">
        <v>1.9599999999999999E-3</v>
      </c>
      <c r="D141">
        <f>Sheet1!$J$3*Sheet1!$M$6*Sheet2!C141</f>
        <v>1.9158999999999997</v>
      </c>
      <c r="E141">
        <f>D141*EXP(-B141*Sheet1!$J$13*Sheet1!$B$57)</f>
        <v>1.5785932332292612</v>
      </c>
    </row>
    <row r="142" spans="1:5" x14ac:dyDescent="0.25">
      <c r="A142">
        <v>540</v>
      </c>
      <c r="B142">
        <v>1.3</v>
      </c>
      <c r="C142">
        <v>1.9599999999999999E-3</v>
      </c>
      <c r="D142">
        <f>Sheet1!$J$3*Sheet1!$M$6*Sheet2!C142</f>
        <v>1.9158999999999997</v>
      </c>
      <c r="E142">
        <f>D142*EXP(-B142*Sheet1!$J$13*Sheet1!$B$57)</f>
        <v>1.5785932332292612</v>
      </c>
    </row>
    <row r="143" spans="1:5" x14ac:dyDescent="0.25">
      <c r="A143">
        <v>541</v>
      </c>
      <c r="B143">
        <v>1.3</v>
      </c>
      <c r="C143">
        <v>1.9599999999999999E-3</v>
      </c>
      <c r="D143">
        <f>Sheet1!$J$3*Sheet1!$M$6*Sheet2!C143</f>
        <v>1.9158999999999997</v>
      </c>
      <c r="E143">
        <f>D143*EXP(-B143*Sheet1!$J$13*Sheet1!$B$57)</f>
        <v>1.5785932332292612</v>
      </c>
    </row>
    <row r="144" spans="1:5" x14ac:dyDescent="0.25">
      <c r="A144">
        <v>542</v>
      </c>
      <c r="B144">
        <v>1.3</v>
      </c>
      <c r="C144">
        <v>1.9599999999999999E-3</v>
      </c>
      <c r="D144">
        <f>Sheet1!$J$3*Sheet1!$M$6*Sheet2!C144</f>
        <v>1.9158999999999997</v>
      </c>
      <c r="E144">
        <f>D144*EXP(-B144*Sheet1!$J$13*Sheet1!$B$57)</f>
        <v>1.5785932332292612</v>
      </c>
    </row>
    <row r="145" spans="1:5" x14ac:dyDescent="0.25">
      <c r="A145">
        <v>543</v>
      </c>
      <c r="B145">
        <v>1.3</v>
      </c>
      <c r="C145">
        <v>1.9599999999999999E-3</v>
      </c>
      <c r="D145">
        <f>Sheet1!$J$3*Sheet1!$M$6*Sheet2!C145</f>
        <v>1.9158999999999997</v>
      </c>
      <c r="E145">
        <f>D145*EXP(-B145*Sheet1!$J$13*Sheet1!$B$57)</f>
        <v>1.5785932332292612</v>
      </c>
    </row>
    <row r="146" spans="1:5" x14ac:dyDescent="0.25">
      <c r="A146">
        <v>544</v>
      </c>
      <c r="B146">
        <v>1.3</v>
      </c>
      <c r="C146">
        <v>1.9599999999999999E-3</v>
      </c>
      <c r="D146">
        <f>Sheet1!$J$3*Sheet1!$M$6*Sheet2!C146</f>
        <v>1.9158999999999997</v>
      </c>
      <c r="E146">
        <f>D146*EXP(-B146*Sheet1!$J$13*Sheet1!$B$57)</f>
        <v>1.5785932332292612</v>
      </c>
    </row>
    <row r="147" spans="1:5" x14ac:dyDescent="0.25">
      <c r="A147">
        <v>545</v>
      </c>
      <c r="B147">
        <v>1.3</v>
      </c>
      <c r="C147">
        <v>1.9599999999999999E-3</v>
      </c>
      <c r="D147">
        <f>Sheet1!$J$3*Sheet1!$M$6*Sheet2!C147</f>
        <v>1.9158999999999997</v>
      </c>
      <c r="E147">
        <f>D147*EXP(-B147*Sheet1!$J$13*Sheet1!$B$57)</f>
        <v>1.5785932332292612</v>
      </c>
    </row>
    <row r="148" spans="1:5" x14ac:dyDescent="0.25">
      <c r="A148">
        <v>546</v>
      </c>
      <c r="B148">
        <v>1.2</v>
      </c>
      <c r="C148">
        <v>1.9599999999999999E-3</v>
      </c>
      <c r="D148">
        <f>Sheet1!$J$3*Sheet1!$M$6*Sheet2!C148</f>
        <v>1.9158999999999997</v>
      </c>
      <c r="E148">
        <f>D148*EXP(-B148*Sheet1!$J$13*Sheet1!$B$57)</f>
        <v>1.6022846334410077</v>
      </c>
    </row>
    <row r="149" spans="1:5" x14ac:dyDescent="0.25">
      <c r="A149">
        <v>547</v>
      </c>
      <c r="B149">
        <v>1.3</v>
      </c>
      <c r="C149">
        <v>1.9599999999999999E-3</v>
      </c>
      <c r="D149">
        <f>Sheet1!$J$3*Sheet1!$M$6*Sheet2!C149</f>
        <v>1.9158999999999997</v>
      </c>
      <c r="E149">
        <f>D149*EXP(-B149*Sheet1!$J$13*Sheet1!$B$57)</f>
        <v>1.5785932332292612</v>
      </c>
    </row>
    <row r="150" spans="1:5" x14ac:dyDescent="0.25">
      <c r="A150">
        <v>548</v>
      </c>
      <c r="B150">
        <v>1.3</v>
      </c>
      <c r="C150">
        <v>1.9599999999999999E-3</v>
      </c>
      <c r="D150">
        <f>Sheet1!$J$3*Sheet1!$M$6*Sheet2!C150</f>
        <v>1.9158999999999997</v>
      </c>
      <c r="E150">
        <f>D150*EXP(-B150*Sheet1!$J$13*Sheet1!$B$57)</f>
        <v>1.5785932332292612</v>
      </c>
    </row>
    <row r="151" spans="1:5" x14ac:dyDescent="0.25">
      <c r="A151">
        <v>549</v>
      </c>
      <c r="B151">
        <v>1.3</v>
      </c>
      <c r="C151">
        <v>1.9599999999999999E-3</v>
      </c>
      <c r="D151">
        <f>Sheet1!$J$3*Sheet1!$M$6*Sheet2!C151</f>
        <v>1.9158999999999997</v>
      </c>
      <c r="E151">
        <f>D151*EXP(-B151*Sheet1!$J$13*Sheet1!$B$57)</f>
        <v>1.5785932332292612</v>
      </c>
    </row>
    <row r="152" spans="1:5" x14ac:dyDescent="0.25">
      <c r="A152">
        <v>550</v>
      </c>
      <c r="B152">
        <v>1.3</v>
      </c>
      <c r="C152">
        <v>2E-3</v>
      </c>
      <c r="D152">
        <f>Sheet1!$J$3*Sheet1!$M$6*Sheet2!C152</f>
        <v>1.9549999999999998</v>
      </c>
      <c r="E152">
        <f>D152*EXP(-B152*Sheet1!$J$13*Sheet1!$B$57)</f>
        <v>1.6108094216625115</v>
      </c>
    </row>
    <row r="153" spans="1:5" x14ac:dyDescent="0.25">
      <c r="A153">
        <v>551</v>
      </c>
      <c r="B153">
        <v>1.3</v>
      </c>
      <c r="C153">
        <v>2E-3</v>
      </c>
      <c r="D153">
        <f>Sheet1!$J$3*Sheet1!$M$6*Sheet2!C153</f>
        <v>1.9549999999999998</v>
      </c>
      <c r="E153">
        <f>D153*EXP(-B153*Sheet1!$J$13*Sheet1!$B$57)</f>
        <v>1.6108094216625115</v>
      </c>
    </row>
    <row r="154" spans="1:5" x14ac:dyDescent="0.25">
      <c r="A154">
        <v>552</v>
      </c>
      <c r="B154">
        <v>1.3</v>
      </c>
      <c r="C154">
        <v>2E-3</v>
      </c>
      <c r="D154">
        <f>Sheet1!$J$3*Sheet1!$M$6*Sheet2!C154</f>
        <v>1.9549999999999998</v>
      </c>
      <c r="E154">
        <f>D154*EXP(-B154*Sheet1!$J$13*Sheet1!$B$57)</f>
        <v>1.6108094216625115</v>
      </c>
    </row>
    <row r="155" spans="1:5" x14ac:dyDescent="0.25">
      <c r="A155">
        <v>553</v>
      </c>
      <c r="B155">
        <v>1.2</v>
      </c>
      <c r="C155">
        <v>2E-3</v>
      </c>
      <c r="D155">
        <f>Sheet1!$J$3*Sheet1!$M$6*Sheet2!C155</f>
        <v>1.9549999999999998</v>
      </c>
      <c r="E155">
        <f>D155*EXP(-B155*Sheet1!$J$13*Sheet1!$B$57)</f>
        <v>1.6349843198377632</v>
      </c>
    </row>
    <row r="156" spans="1:5" x14ac:dyDescent="0.25">
      <c r="A156">
        <v>554</v>
      </c>
      <c r="B156">
        <v>1.2</v>
      </c>
      <c r="C156">
        <v>2E-3</v>
      </c>
      <c r="D156">
        <f>Sheet1!$J$3*Sheet1!$M$6*Sheet2!C156</f>
        <v>1.9549999999999998</v>
      </c>
      <c r="E156">
        <f>D156*EXP(-B156*Sheet1!$J$13*Sheet1!$B$57)</f>
        <v>1.6349843198377632</v>
      </c>
    </row>
    <row r="157" spans="1:5" x14ac:dyDescent="0.25">
      <c r="A157">
        <v>555</v>
      </c>
      <c r="B157">
        <v>1.3</v>
      </c>
      <c r="C157">
        <v>2E-3</v>
      </c>
      <c r="D157">
        <f>Sheet1!$J$3*Sheet1!$M$6*Sheet2!C157</f>
        <v>1.9549999999999998</v>
      </c>
      <c r="E157">
        <f>D157*EXP(-B157*Sheet1!$J$13*Sheet1!$B$57)</f>
        <v>1.6108094216625115</v>
      </c>
    </row>
    <row r="158" spans="1:5" x14ac:dyDescent="0.25">
      <c r="A158">
        <v>556</v>
      </c>
      <c r="B158">
        <v>1.3</v>
      </c>
      <c r="C158">
        <v>2E-3</v>
      </c>
      <c r="D158">
        <f>Sheet1!$J$3*Sheet1!$M$6*Sheet2!C158</f>
        <v>1.9549999999999998</v>
      </c>
      <c r="E158">
        <f>D158*EXP(-B158*Sheet1!$J$13*Sheet1!$B$57)</f>
        <v>1.6108094216625115</v>
      </c>
    </row>
    <row r="159" spans="1:5" x14ac:dyDescent="0.25">
      <c r="A159">
        <v>557</v>
      </c>
      <c r="B159">
        <v>1.3</v>
      </c>
      <c r="C159">
        <v>2E-3</v>
      </c>
      <c r="D159">
        <f>Sheet1!$J$3*Sheet1!$M$6*Sheet2!C159</f>
        <v>1.9549999999999998</v>
      </c>
      <c r="E159">
        <f>D159*EXP(-B159*Sheet1!$J$13*Sheet1!$B$57)</f>
        <v>1.6108094216625115</v>
      </c>
    </row>
    <row r="160" spans="1:5" x14ac:dyDescent="0.25">
      <c r="A160">
        <v>558</v>
      </c>
      <c r="B160">
        <v>1.3</v>
      </c>
      <c r="C160">
        <v>2E-3</v>
      </c>
      <c r="D160">
        <f>Sheet1!$J$3*Sheet1!$M$6*Sheet2!C160</f>
        <v>1.9549999999999998</v>
      </c>
      <c r="E160">
        <f>D160*EXP(-B160*Sheet1!$J$13*Sheet1!$B$57)</f>
        <v>1.6108094216625115</v>
      </c>
    </row>
    <row r="161" spans="1:5" x14ac:dyDescent="0.25">
      <c r="A161">
        <v>559</v>
      </c>
      <c r="B161">
        <v>1.3</v>
      </c>
      <c r="C161">
        <v>2E-3</v>
      </c>
      <c r="D161">
        <f>Sheet1!$J$3*Sheet1!$M$6*Sheet2!C161</f>
        <v>1.9549999999999998</v>
      </c>
      <c r="E161">
        <f>D161*EXP(-B161*Sheet1!$J$13*Sheet1!$B$57)</f>
        <v>1.6108094216625115</v>
      </c>
    </row>
    <row r="162" spans="1:5" x14ac:dyDescent="0.25">
      <c r="A162">
        <v>560</v>
      </c>
      <c r="B162">
        <v>1.3</v>
      </c>
      <c r="C162">
        <v>2E-3</v>
      </c>
      <c r="D162">
        <f>Sheet1!$J$3*Sheet1!$M$6*Sheet2!C162</f>
        <v>1.9549999999999998</v>
      </c>
      <c r="E162">
        <f>D162*EXP(-B162*Sheet1!$J$13*Sheet1!$B$57)</f>
        <v>1.6108094216625115</v>
      </c>
    </row>
    <row r="163" spans="1:5" x14ac:dyDescent="0.25">
      <c r="A163">
        <v>561</v>
      </c>
      <c r="B163">
        <v>1.3</v>
      </c>
      <c r="C163">
        <v>2E-3</v>
      </c>
      <c r="D163">
        <f>Sheet1!$J$3*Sheet1!$M$6*Sheet2!C163</f>
        <v>1.9549999999999998</v>
      </c>
      <c r="E163">
        <f>D163*EXP(-B163*Sheet1!$J$13*Sheet1!$B$57)</f>
        <v>1.6108094216625115</v>
      </c>
    </row>
    <row r="164" spans="1:5" x14ac:dyDescent="0.25">
      <c r="A164">
        <v>562</v>
      </c>
      <c r="B164">
        <v>1.3</v>
      </c>
      <c r="C164">
        <v>2E-3</v>
      </c>
      <c r="D164">
        <f>Sheet1!$J$3*Sheet1!$M$6*Sheet2!C164</f>
        <v>1.9549999999999998</v>
      </c>
      <c r="E164">
        <f>D164*EXP(-B164*Sheet1!$J$13*Sheet1!$B$57)</f>
        <v>1.6108094216625115</v>
      </c>
    </row>
    <row r="165" spans="1:5" x14ac:dyDescent="0.25">
      <c r="A165">
        <v>563</v>
      </c>
      <c r="B165">
        <v>1.3</v>
      </c>
      <c r="C165">
        <v>2E-3</v>
      </c>
      <c r="D165">
        <f>Sheet1!$J$3*Sheet1!$M$6*Sheet2!C165</f>
        <v>1.9549999999999998</v>
      </c>
      <c r="E165">
        <f>D165*EXP(-B165*Sheet1!$J$13*Sheet1!$B$57)</f>
        <v>1.6108094216625115</v>
      </c>
    </row>
    <row r="166" spans="1:5" x14ac:dyDescent="0.25">
      <c r="A166">
        <v>564</v>
      </c>
      <c r="B166">
        <v>1.4</v>
      </c>
      <c r="C166">
        <v>2E-3</v>
      </c>
      <c r="D166">
        <f>Sheet1!$J$3*Sheet1!$M$6*Sheet2!C166</f>
        <v>1.9549999999999998</v>
      </c>
      <c r="E166">
        <f>D166*EXP(-B166*Sheet1!$J$13*Sheet1!$B$57)</f>
        <v>1.5869919738277267</v>
      </c>
    </row>
    <row r="167" spans="1:5" x14ac:dyDescent="0.25">
      <c r="A167">
        <v>565</v>
      </c>
      <c r="B167">
        <v>1.4</v>
      </c>
      <c r="C167">
        <v>2E-3</v>
      </c>
      <c r="D167">
        <f>Sheet1!$J$3*Sheet1!$M$6*Sheet2!C167</f>
        <v>1.9549999999999998</v>
      </c>
      <c r="E167">
        <f>D167*EXP(-B167*Sheet1!$J$13*Sheet1!$B$57)</f>
        <v>1.5869919738277267</v>
      </c>
    </row>
    <row r="168" spans="1:5" x14ac:dyDescent="0.25">
      <c r="A168">
        <v>566</v>
      </c>
      <c r="B168">
        <v>1.4</v>
      </c>
      <c r="C168">
        <v>2E-3</v>
      </c>
      <c r="D168">
        <f>Sheet1!$J$3*Sheet1!$M$6*Sheet2!C168</f>
        <v>1.9549999999999998</v>
      </c>
      <c r="E168">
        <f>D168*EXP(-B168*Sheet1!$J$13*Sheet1!$B$57)</f>
        <v>1.5869919738277267</v>
      </c>
    </row>
    <row r="169" spans="1:5" x14ac:dyDescent="0.25">
      <c r="A169">
        <v>567</v>
      </c>
      <c r="B169">
        <v>1.4</v>
      </c>
      <c r="C169">
        <v>2E-3</v>
      </c>
      <c r="D169">
        <f>Sheet1!$J$3*Sheet1!$M$6*Sheet2!C169</f>
        <v>1.9549999999999998</v>
      </c>
      <c r="E169">
        <f>D169*EXP(-B169*Sheet1!$J$13*Sheet1!$B$57)</f>
        <v>1.5869919738277267</v>
      </c>
    </row>
    <row r="170" spans="1:5" x14ac:dyDescent="0.25">
      <c r="A170">
        <v>568</v>
      </c>
      <c r="B170">
        <v>1.4</v>
      </c>
      <c r="C170">
        <v>2E-3</v>
      </c>
      <c r="D170">
        <f>Sheet1!$J$3*Sheet1!$M$6*Sheet2!C170</f>
        <v>1.9549999999999998</v>
      </c>
      <c r="E170">
        <f>D170*EXP(-B170*Sheet1!$J$13*Sheet1!$B$57)</f>
        <v>1.5869919738277267</v>
      </c>
    </row>
    <row r="171" spans="1:5" x14ac:dyDescent="0.25">
      <c r="A171">
        <v>569</v>
      </c>
      <c r="B171">
        <v>1.5</v>
      </c>
      <c r="C171">
        <v>2E-3</v>
      </c>
      <c r="D171">
        <f>Sheet1!$J$3*Sheet1!$M$6*Sheet2!C171</f>
        <v>1.9549999999999998</v>
      </c>
      <c r="E171">
        <f>D171*EXP(-B171*Sheet1!$J$13*Sheet1!$B$57)</f>
        <v>1.563526691068297</v>
      </c>
    </row>
    <row r="172" spans="1:5" x14ac:dyDescent="0.25">
      <c r="A172">
        <v>570</v>
      </c>
      <c r="B172">
        <v>1.5</v>
      </c>
      <c r="C172">
        <v>2E-3</v>
      </c>
      <c r="D172">
        <f>Sheet1!$J$3*Sheet1!$M$6*Sheet2!C172</f>
        <v>1.9549999999999998</v>
      </c>
      <c r="E172">
        <f>D172*EXP(-B172*Sheet1!$J$13*Sheet1!$B$57)</f>
        <v>1.563526691068297</v>
      </c>
    </row>
    <row r="173" spans="1:5" x14ac:dyDescent="0.25">
      <c r="A173">
        <v>571</v>
      </c>
      <c r="B173">
        <v>1.5</v>
      </c>
      <c r="C173">
        <v>2E-3</v>
      </c>
      <c r="D173">
        <f>Sheet1!$J$3*Sheet1!$M$6*Sheet2!C173</f>
        <v>1.9549999999999998</v>
      </c>
      <c r="E173">
        <f>D173*EXP(-B173*Sheet1!$J$13*Sheet1!$B$57)</f>
        <v>1.563526691068297</v>
      </c>
    </row>
    <row r="174" spans="1:5" x14ac:dyDescent="0.25">
      <c r="A174">
        <v>572</v>
      </c>
      <c r="B174">
        <v>1.5</v>
      </c>
      <c r="C174">
        <v>2E-3</v>
      </c>
      <c r="D174">
        <f>Sheet1!$J$3*Sheet1!$M$6*Sheet2!C174</f>
        <v>1.9549999999999998</v>
      </c>
      <c r="E174">
        <f>D174*EXP(-B174*Sheet1!$J$13*Sheet1!$B$57)</f>
        <v>1.563526691068297</v>
      </c>
    </row>
    <row r="175" spans="1:5" x14ac:dyDescent="0.25">
      <c r="A175">
        <v>573</v>
      </c>
      <c r="B175">
        <v>1.7</v>
      </c>
      <c r="C175">
        <v>2E-3</v>
      </c>
      <c r="D175">
        <f>Sheet1!$J$3*Sheet1!$M$6*Sheet2!C175</f>
        <v>1.9549999999999998</v>
      </c>
      <c r="E175">
        <f>D175*EXP(-B175*Sheet1!$J$13*Sheet1!$B$57)</f>
        <v>1.5176318692995339</v>
      </c>
    </row>
    <row r="176" spans="1:5" x14ac:dyDescent="0.25">
      <c r="A176">
        <v>574</v>
      </c>
      <c r="B176">
        <v>1.7</v>
      </c>
      <c r="C176">
        <v>2E-3</v>
      </c>
      <c r="D176">
        <f>Sheet1!$J$3*Sheet1!$M$6*Sheet2!C176</f>
        <v>1.9549999999999998</v>
      </c>
      <c r="E176">
        <f>D176*EXP(-B176*Sheet1!$J$13*Sheet1!$B$57)</f>
        <v>1.5176318692995339</v>
      </c>
    </row>
    <row r="177" spans="1:5" x14ac:dyDescent="0.25">
      <c r="A177">
        <v>575</v>
      </c>
      <c r="B177">
        <v>1.8</v>
      </c>
      <c r="C177">
        <v>2E-3</v>
      </c>
      <c r="D177">
        <f>Sheet1!$J$3*Sheet1!$M$6*Sheet2!C177</f>
        <v>1.9549999999999998</v>
      </c>
      <c r="E177">
        <f>D177*EXP(-B177*Sheet1!$J$13*Sheet1!$B$57)</f>
        <v>1.4951921458950466</v>
      </c>
    </row>
    <row r="178" spans="1:5" x14ac:dyDescent="0.25">
      <c r="A178">
        <v>576</v>
      </c>
      <c r="B178">
        <v>1.8</v>
      </c>
      <c r="C178">
        <v>2E-3</v>
      </c>
      <c r="D178">
        <f>Sheet1!$J$3*Sheet1!$M$6*Sheet2!C178</f>
        <v>1.9549999999999998</v>
      </c>
      <c r="E178">
        <f>D178*EXP(-B178*Sheet1!$J$13*Sheet1!$B$57)</f>
        <v>1.4951921458950466</v>
      </c>
    </row>
    <row r="179" spans="1:5" x14ac:dyDescent="0.25">
      <c r="A179">
        <v>577</v>
      </c>
      <c r="B179">
        <v>1.8</v>
      </c>
      <c r="C179">
        <v>2E-3</v>
      </c>
      <c r="D179">
        <f>Sheet1!$J$3*Sheet1!$M$6*Sheet2!C179</f>
        <v>1.9549999999999998</v>
      </c>
      <c r="E179">
        <f>D179*EXP(-B179*Sheet1!$J$13*Sheet1!$B$57)</f>
        <v>1.4951921458950466</v>
      </c>
    </row>
    <row r="180" spans="1:5" x14ac:dyDescent="0.25">
      <c r="A180">
        <v>578</v>
      </c>
      <c r="B180">
        <v>1.8</v>
      </c>
      <c r="C180">
        <v>2E-3</v>
      </c>
      <c r="D180">
        <f>Sheet1!$J$3*Sheet1!$M$6*Sheet2!C180</f>
        <v>1.9549999999999998</v>
      </c>
      <c r="E180">
        <f>D180*EXP(-B180*Sheet1!$J$13*Sheet1!$B$57)</f>
        <v>1.4951921458950466</v>
      </c>
    </row>
    <row r="181" spans="1:5" x14ac:dyDescent="0.25">
      <c r="A181">
        <v>579</v>
      </c>
      <c r="B181">
        <v>1.8</v>
      </c>
      <c r="C181">
        <v>2E-3</v>
      </c>
      <c r="D181">
        <f>Sheet1!$J$3*Sheet1!$M$6*Sheet2!C181</f>
        <v>1.9549999999999998</v>
      </c>
      <c r="E181">
        <f>D181*EXP(-B181*Sheet1!$J$13*Sheet1!$B$57)</f>
        <v>1.4951921458950466</v>
      </c>
    </row>
    <row r="182" spans="1:5" x14ac:dyDescent="0.25">
      <c r="A182">
        <v>580</v>
      </c>
      <c r="B182">
        <v>1.9</v>
      </c>
      <c r="C182">
        <v>2E-3</v>
      </c>
      <c r="D182">
        <f>Sheet1!$J$3*Sheet1!$M$6*Sheet2!C182</f>
        <v>1.9549999999999998</v>
      </c>
      <c r="E182">
        <f>D182*EXP(-B182*Sheet1!$J$13*Sheet1!$B$57)</f>
        <v>1.4730842165156168</v>
      </c>
    </row>
    <row r="183" spans="1:5" x14ac:dyDescent="0.25">
      <c r="A183">
        <v>581</v>
      </c>
      <c r="B183">
        <v>1.9</v>
      </c>
      <c r="C183">
        <v>2E-3</v>
      </c>
      <c r="D183">
        <f>Sheet1!$J$3*Sheet1!$M$6*Sheet2!C183</f>
        <v>1.9549999999999998</v>
      </c>
      <c r="E183">
        <f>D183*EXP(-B183*Sheet1!$J$13*Sheet1!$B$57)</f>
        <v>1.4730842165156168</v>
      </c>
    </row>
    <row r="184" spans="1:5" x14ac:dyDescent="0.25">
      <c r="A184">
        <v>582</v>
      </c>
      <c r="B184">
        <v>1.9</v>
      </c>
      <c r="C184">
        <v>2E-3</v>
      </c>
      <c r="D184">
        <f>Sheet1!$J$3*Sheet1!$M$6*Sheet2!C184</f>
        <v>1.9549999999999998</v>
      </c>
      <c r="E184">
        <f>D184*EXP(-B184*Sheet1!$J$13*Sheet1!$B$57)</f>
        <v>1.4730842165156168</v>
      </c>
    </row>
    <row r="185" spans="1:5" x14ac:dyDescent="0.25">
      <c r="A185">
        <v>583</v>
      </c>
      <c r="B185">
        <v>1.9</v>
      </c>
      <c r="C185">
        <v>2E-3</v>
      </c>
      <c r="D185">
        <f>Sheet1!$J$3*Sheet1!$M$6*Sheet2!C185</f>
        <v>1.9549999999999998</v>
      </c>
      <c r="E185">
        <f>D185*EXP(-B185*Sheet1!$J$13*Sheet1!$B$57)</f>
        <v>1.4730842165156168</v>
      </c>
    </row>
    <row r="186" spans="1:5" x14ac:dyDescent="0.25">
      <c r="A186">
        <v>584</v>
      </c>
      <c r="B186">
        <v>1.9</v>
      </c>
      <c r="C186">
        <v>2E-3</v>
      </c>
      <c r="D186">
        <f>Sheet1!$J$3*Sheet1!$M$6*Sheet2!C186</f>
        <v>1.9549999999999998</v>
      </c>
      <c r="E186">
        <f>D186*EXP(-B186*Sheet1!$J$13*Sheet1!$B$57)</f>
        <v>1.4730842165156168</v>
      </c>
    </row>
    <row r="187" spans="1:5" x14ac:dyDescent="0.25">
      <c r="A187">
        <v>585</v>
      </c>
      <c r="B187">
        <v>2</v>
      </c>
      <c r="C187">
        <v>2E-3</v>
      </c>
      <c r="D187">
        <f>Sheet1!$J$3*Sheet1!$M$6*Sheet2!C187</f>
        <v>1.9549999999999998</v>
      </c>
      <c r="E187">
        <f>D187*EXP(-B187*Sheet1!$J$13*Sheet1!$B$57)</f>
        <v>1.4513031752507262</v>
      </c>
    </row>
    <row r="188" spans="1:5" x14ac:dyDescent="0.25">
      <c r="A188">
        <v>586</v>
      </c>
      <c r="B188">
        <v>2</v>
      </c>
      <c r="C188">
        <v>2E-3</v>
      </c>
      <c r="D188">
        <f>Sheet1!$J$3*Sheet1!$M$6*Sheet2!C188</f>
        <v>1.9549999999999998</v>
      </c>
      <c r="E188">
        <f>D188*EXP(-B188*Sheet1!$J$13*Sheet1!$B$57)</f>
        <v>1.4513031752507262</v>
      </c>
    </row>
    <row r="189" spans="1:5" x14ac:dyDescent="0.25">
      <c r="A189">
        <v>587</v>
      </c>
      <c r="B189">
        <v>2</v>
      </c>
      <c r="C189">
        <v>2E-3</v>
      </c>
      <c r="D189">
        <f>Sheet1!$J$3*Sheet1!$M$6*Sheet2!C189</f>
        <v>1.9549999999999998</v>
      </c>
      <c r="E189">
        <f>D189*EXP(-B189*Sheet1!$J$13*Sheet1!$B$57)</f>
        <v>1.4513031752507262</v>
      </c>
    </row>
    <row r="190" spans="1:5" x14ac:dyDescent="0.25">
      <c r="A190">
        <v>588</v>
      </c>
      <c r="B190">
        <v>2</v>
      </c>
      <c r="C190">
        <v>2E-3</v>
      </c>
      <c r="D190">
        <f>Sheet1!$J$3*Sheet1!$M$6*Sheet2!C190</f>
        <v>1.9549999999999998</v>
      </c>
      <c r="E190">
        <f>D190*EXP(-B190*Sheet1!$J$13*Sheet1!$B$57)</f>
        <v>1.4513031752507262</v>
      </c>
    </row>
    <row r="191" spans="1:5" x14ac:dyDescent="0.25">
      <c r="A191">
        <v>589</v>
      </c>
      <c r="B191">
        <v>2</v>
      </c>
      <c r="C191">
        <v>2E-3</v>
      </c>
      <c r="D191">
        <f>Sheet1!$J$3*Sheet1!$M$6*Sheet2!C191</f>
        <v>1.9549999999999998</v>
      </c>
      <c r="E191">
        <f>D191*EXP(-B191*Sheet1!$J$13*Sheet1!$B$57)</f>
        <v>1.4513031752507262</v>
      </c>
    </row>
    <row r="192" spans="1:5" x14ac:dyDescent="0.25">
      <c r="A192">
        <v>590</v>
      </c>
      <c r="B192">
        <v>2</v>
      </c>
      <c r="C192">
        <v>2E-3</v>
      </c>
      <c r="D192">
        <f>Sheet1!$J$3*Sheet1!$M$6*Sheet2!C192</f>
        <v>1.9549999999999998</v>
      </c>
      <c r="E192">
        <f>D192*EXP(-B192*Sheet1!$J$13*Sheet1!$B$57)</f>
        <v>1.4513031752507262</v>
      </c>
    </row>
    <row r="193" spans="1:5" x14ac:dyDescent="0.25">
      <c r="A193">
        <v>591</v>
      </c>
      <c r="B193">
        <v>2.2000000000000002</v>
      </c>
      <c r="C193">
        <v>2E-3</v>
      </c>
      <c r="D193">
        <f>Sheet1!$J$3*Sheet1!$M$6*Sheet2!C193</f>
        <v>1.9549999999999998</v>
      </c>
      <c r="E193">
        <f>D193*EXP(-B193*Sheet1!$J$13*Sheet1!$B$57)</f>
        <v>1.4087024950441975</v>
      </c>
    </row>
    <row r="194" spans="1:5" x14ac:dyDescent="0.25">
      <c r="A194">
        <v>592</v>
      </c>
      <c r="B194">
        <v>2.2000000000000002</v>
      </c>
      <c r="C194">
        <v>2E-3</v>
      </c>
      <c r="D194">
        <f>Sheet1!$J$3*Sheet1!$M$6*Sheet2!C194</f>
        <v>1.9549999999999998</v>
      </c>
      <c r="E194">
        <f>D194*EXP(-B194*Sheet1!$J$13*Sheet1!$B$57)</f>
        <v>1.4087024950441975</v>
      </c>
    </row>
    <row r="195" spans="1:5" x14ac:dyDescent="0.25">
      <c r="A195">
        <v>593</v>
      </c>
      <c r="B195">
        <v>2.2000000000000002</v>
      </c>
      <c r="C195">
        <v>2E-3</v>
      </c>
      <c r="D195">
        <f>Sheet1!$J$3*Sheet1!$M$6*Sheet2!C195</f>
        <v>1.9549999999999998</v>
      </c>
      <c r="E195">
        <f>D195*EXP(-B195*Sheet1!$J$13*Sheet1!$B$57)</f>
        <v>1.4087024950441975</v>
      </c>
    </row>
    <row r="196" spans="1:5" x14ac:dyDescent="0.25">
      <c r="A196">
        <v>594</v>
      </c>
      <c r="B196">
        <v>2.2000000000000002</v>
      </c>
      <c r="C196">
        <v>2E-3</v>
      </c>
      <c r="D196">
        <f>Sheet1!$J$3*Sheet1!$M$6*Sheet2!C196</f>
        <v>1.9549999999999998</v>
      </c>
      <c r="E196">
        <f>D196*EXP(-B196*Sheet1!$J$13*Sheet1!$B$57)</f>
        <v>1.4087024950441975</v>
      </c>
    </row>
    <row r="197" spans="1:5" x14ac:dyDescent="0.25">
      <c r="A197">
        <v>595</v>
      </c>
      <c r="B197">
        <v>2.2000000000000002</v>
      </c>
      <c r="C197">
        <v>2E-3</v>
      </c>
      <c r="D197">
        <f>Sheet1!$J$3*Sheet1!$M$6*Sheet2!C197</f>
        <v>1.9549999999999998</v>
      </c>
      <c r="E197">
        <f>D197*EXP(-B197*Sheet1!$J$13*Sheet1!$B$57)</f>
        <v>1.4087024950441975</v>
      </c>
    </row>
    <row r="198" spans="1:5" x14ac:dyDescent="0.25">
      <c r="A198">
        <v>596</v>
      </c>
      <c r="B198">
        <v>2.2000000000000002</v>
      </c>
      <c r="C198">
        <v>2E-3</v>
      </c>
      <c r="D198">
        <f>Sheet1!$J$3*Sheet1!$M$6*Sheet2!C198</f>
        <v>1.9549999999999998</v>
      </c>
      <c r="E198">
        <f>D198*EXP(-B198*Sheet1!$J$13*Sheet1!$B$57)</f>
        <v>1.4087024950441975</v>
      </c>
    </row>
    <row r="199" spans="1:5" x14ac:dyDescent="0.25">
      <c r="A199">
        <v>597</v>
      </c>
      <c r="B199">
        <v>2.2000000000000002</v>
      </c>
      <c r="C199">
        <v>2E-3</v>
      </c>
      <c r="D199">
        <f>Sheet1!$J$3*Sheet1!$M$6*Sheet2!C199</f>
        <v>1.9549999999999998</v>
      </c>
      <c r="E199">
        <f>D199*EXP(-B199*Sheet1!$J$13*Sheet1!$B$57)</f>
        <v>1.4087024950441975</v>
      </c>
    </row>
    <row r="200" spans="1:5" x14ac:dyDescent="0.25">
      <c r="A200">
        <v>598</v>
      </c>
      <c r="B200">
        <v>2.2000000000000002</v>
      </c>
      <c r="C200">
        <v>2E-3</v>
      </c>
      <c r="D200">
        <f>Sheet1!$J$3*Sheet1!$M$6*Sheet2!C200</f>
        <v>1.9549999999999998</v>
      </c>
      <c r="E200">
        <f>D200*EXP(-B200*Sheet1!$J$13*Sheet1!$B$57)</f>
        <v>1.4087024950441975</v>
      </c>
    </row>
    <row r="201" spans="1:5" x14ac:dyDescent="0.25">
      <c r="A201">
        <v>599</v>
      </c>
      <c r="B201">
        <v>2.2000000000000002</v>
      </c>
      <c r="C201">
        <v>2E-3</v>
      </c>
      <c r="D201">
        <f>Sheet1!$J$3*Sheet1!$M$6*Sheet2!C201</f>
        <v>1.9549999999999998</v>
      </c>
      <c r="E201">
        <f>D201*EXP(-B201*Sheet1!$J$13*Sheet1!$B$57)</f>
        <v>1.4087024950441975</v>
      </c>
    </row>
    <row r="202" spans="1:5" x14ac:dyDescent="0.25">
      <c r="A202">
        <v>600</v>
      </c>
      <c r="B202">
        <v>2.2999999999999998</v>
      </c>
      <c r="C202">
        <v>1.8E-3</v>
      </c>
      <c r="D202">
        <f>Sheet1!$J$3*Sheet1!$M$6*Sheet2!C202</f>
        <v>1.7594999999999998</v>
      </c>
      <c r="E202">
        <f>D202*EXP(-B202*Sheet1!$J$13*Sheet1!$B$57)</f>
        <v>1.2490860624312659</v>
      </c>
    </row>
    <row r="203" spans="1:5" x14ac:dyDescent="0.25">
      <c r="A203">
        <v>601</v>
      </c>
      <c r="B203">
        <v>2.2999999999999998</v>
      </c>
      <c r="C203">
        <v>1.8E-3</v>
      </c>
      <c r="D203">
        <f>Sheet1!$J$3*Sheet1!$M$6*Sheet2!C203</f>
        <v>1.7594999999999998</v>
      </c>
      <c r="E203">
        <f>D203*EXP(-B203*Sheet1!$J$13*Sheet1!$B$57)</f>
        <v>1.2490860624312659</v>
      </c>
    </row>
    <row r="204" spans="1:5" x14ac:dyDescent="0.25">
      <c r="A204">
        <v>602</v>
      </c>
      <c r="B204">
        <v>2.2999999999999998</v>
      </c>
      <c r="C204">
        <v>1.8E-3</v>
      </c>
      <c r="D204">
        <f>Sheet1!$J$3*Sheet1!$M$6*Sheet2!C204</f>
        <v>1.7594999999999998</v>
      </c>
      <c r="E204">
        <f>D204*EXP(-B204*Sheet1!$J$13*Sheet1!$B$57)</f>
        <v>1.2490860624312659</v>
      </c>
    </row>
    <row r="205" spans="1:5" x14ac:dyDescent="0.25">
      <c r="A205">
        <v>603</v>
      </c>
      <c r="B205">
        <v>2.2999999999999998</v>
      </c>
      <c r="C205">
        <v>1.8E-3</v>
      </c>
      <c r="D205">
        <f>Sheet1!$J$3*Sheet1!$M$6*Sheet2!C205</f>
        <v>1.7594999999999998</v>
      </c>
      <c r="E205">
        <f>D205*EXP(-B205*Sheet1!$J$13*Sheet1!$B$57)</f>
        <v>1.2490860624312659</v>
      </c>
    </row>
    <row r="206" spans="1:5" x14ac:dyDescent="0.25">
      <c r="A206">
        <v>604</v>
      </c>
      <c r="B206">
        <v>2.2999999999999998</v>
      </c>
      <c r="C206">
        <v>1.8E-3</v>
      </c>
      <c r="D206">
        <f>Sheet1!$J$3*Sheet1!$M$6*Sheet2!C206</f>
        <v>1.7594999999999998</v>
      </c>
      <c r="E206">
        <f>D206*EXP(-B206*Sheet1!$J$13*Sheet1!$B$57)</f>
        <v>1.2490860624312659</v>
      </c>
    </row>
    <row r="207" spans="1:5" x14ac:dyDescent="0.25">
      <c r="A207">
        <v>605</v>
      </c>
      <c r="B207">
        <v>2.2999999999999998</v>
      </c>
      <c r="C207">
        <v>1.8E-3</v>
      </c>
      <c r="D207">
        <f>Sheet1!$J$3*Sheet1!$M$6*Sheet2!C207</f>
        <v>1.7594999999999998</v>
      </c>
      <c r="E207">
        <f>D207*EXP(-B207*Sheet1!$J$13*Sheet1!$B$57)</f>
        <v>1.2490860624312659</v>
      </c>
    </row>
    <row r="208" spans="1:5" x14ac:dyDescent="0.25">
      <c r="A208">
        <v>606</v>
      </c>
      <c r="B208">
        <v>2.2999999999999998</v>
      </c>
      <c r="C208">
        <v>1.8E-3</v>
      </c>
      <c r="D208">
        <f>Sheet1!$J$3*Sheet1!$M$6*Sheet2!C208</f>
        <v>1.7594999999999998</v>
      </c>
      <c r="E208">
        <f>D208*EXP(-B208*Sheet1!$J$13*Sheet1!$B$57)</f>
        <v>1.2490860624312659</v>
      </c>
    </row>
    <row r="209" spans="1:5" x14ac:dyDescent="0.25">
      <c r="A209">
        <v>607</v>
      </c>
      <c r="B209">
        <v>2.2999999999999998</v>
      </c>
      <c r="C209">
        <v>1.8E-3</v>
      </c>
      <c r="D209">
        <f>Sheet1!$J$3*Sheet1!$M$6*Sheet2!C209</f>
        <v>1.7594999999999998</v>
      </c>
      <c r="E209">
        <f>D209*EXP(-B209*Sheet1!$J$13*Sheet1!$B$57)</f>
        <v>1.2490860624312659</v>
      </c>
    </row>
    <row r="210" spans="1:5" x14ac:dyDescent="0.25">
      <c r="A210">
        <v>608</v>
      </c>
      <c r="B210">
        <v>2.4</v>
      </c>
      <c r="C210">
        <v>1.8E-3</v>
      </c>
      <c r="D210">
        <f>Sheet1!$J$3*Sheet1!$M$6*Sheet2!C210</f>
        <v>1.7594999999999998</v>
      </c>
      <c r="E210">
        <f>D210*EXP(-B210*Sheet1!$J$13*Sheet1!$B$57)</f>
        <v>1.2306170606157634</v>
      </c>
    </row>
    <row r="211" spans="1:5" x14ac:dyDescent="0.25">
      <c r="A211">
        <v>609</v>
      </c>
      <c r="B211">
        <v>2.4</v>
      </c>
      <c r="C211">
        <v>1.8E-3</v>
      </c>
      <c r="D211">
        <f>Sheet1!$J$3*Sheet1!$M$6*Sheet2!C211</f>
        <v>1.7594999999999998</v>
      </c>
      <c r="E211">
        <f>D211*EXP(-B211*Sheet1!$J$13*Sheet1!$B$57)</f>
        <v>1.2306170606157634</v>
      </c>
    </row>
    <row r="212" spans="1:5" x14ac:dyDescent="0.25">
      <c r="A212">
        <v>610</v>
      </c>
      <c r="B212">
        <v>2.4</v>
      </c>
      <c r="C212">
        <v>1.8E-3</v>
      </c>
      <c r="D212">
        <f>Sheet1!$J$3*Sheet1!$M$6*Sheet2!C212</f>
        <v>1.7594999999999998</v>
      </c>
      <c r="E212">
        <f>D212*EXP(-B212*Sheet1!$J$13*Sheet1!$B$57)</f>
        <v>1.2306170606157634</v>
      </c>
    </row>
    <row r="213" spans="1:5" x14ac:dyDescent="0.25">
      <c r="A213">
        <v>611</v>
      </c>
      <c r="B213">
        <v>2.4</v>
      </c>
      <c r="C213">
        <v>1.8E-3</v>
      </c>
      <c r="D213">
        <f>Sheet1!$J$3*Sheet1!$M$6*Sheet2!C213</f>
        <v>1.7594999999999998</v>
      </c>
      <c r="E213">
        <f>D213*EXP(-B213*Sheet1!$J$13*Sheet1!$B$57)</f>
        <v>1.2306170606157634</v>
      </c>
    </row>
    <row r="214" spans="1:5" x14ac:dyDescent="0.25">
      <c r="A214">
        <v>612</v>
      </c>
      <c r="B214">
        <v>2.6</v>
      </c>
      <c r="C214">
        <v>1.8E-3</v>
      </c>
      <c r="D214">
        <f>Sheet1!$J$3*Sheet1!$M$6*Sheet2!C214</f>
        <v>1.7594999999999998</v>
      </c>
      <c r="E214">
        <f>D214*EXP(-B214*Sheet1!$J$13*Sheet1!$B$57)</f>
        <v>1.194494267838897</v>
      </c>
    </row>
    <row r="215" spans="1:5" x14ac:dyDescent="0.25">
      <c r="A215">
        <v>613</v>
      </c>
      <c r="B215">
        <v>2.6</v>
      </c>
      <c r="C215">
        <v>1.8E-3</v>
      </c>
      <c r="D215">
        <f>Sheet1!$J$3*Sheet1!$M$6*Sheet2!C215</f>
        <v>1.7594999999999998</v>
      </c>
      <c r="E215">
        <f>D215*EXP(-B215*Sheet1!$J$13*Sheet1!$B$57)</f>
        <v>1.194494267838897</v>
      </c>
    </row>
    <row r="216" spans="1:5" x14ac:dyDescent="0.25">
      <c r="A216">
        <v>614</v>
      </c>
      <c r="B216">
        <v>2.7</v>
      </c>
      <c r="C216">
        <v>1.8E-3</v>
      </c>
      <c r="D216">
        <f>Sheet1!$J$3*Sheet1!$M$6*Sheet2!C216</f>
        <v>1.7594999999999998</v>
      </c>
      <c r="E216">
        <f>D216*EXP(-B216*Sheet1!$J$13*Sheet1!$B$57)</f>
        <v>1.176832460966772</v>
      </c>
    </row>
    <row r="217" spans="1:5" x14ac:dyDescent="0.25">
      <c r="A217">
        <v>615</v>
      </c>
      <c r="B217">
        <v>2.7</v>
      </c>
      <c r="C217">
        <v>1.8E-3</v>
      </c>
      <c r="D217">
        <f>Sheet1!$J$3*Sheet1!$M$6*Sheet2!C217</f>
        <v>1.7594999999999998</v>
      </c>
      <c r="E217">
        <f>D217*EXP(-B217*Sheet1!$J$13*Sheet1!$B$57)</f>
        <v>1.176832460966772</v>
      </c>
    </row>
    <row r="218" spans="1:5" x14ac:dyDescent="0.25">
      <c r="A218">
        <v>616</v>
      </c>
      <c r="B218">
        <v>2.7</v>
      </c>
      <c r="C218">
        <v>1.8E-3</v>
      </c>
      <c r="D218">
        <f>Sheet1!$J$3*Sheet1!$M$6*Sheet2!C218</f>
        <v>1.7594999999999998</v>
      </c>
      <c r="E218">
        <f>D218*EXP(-B218*Sheet1!$J$13*Sheet1!$B$57)</f>
        <v>1.176832460966772</v>
      </c>
    </row>
    <row r="219" spans="1:5" x14ac:dyDescent="0.25">
      <c r="A219">
        <v>617</v>
      </c>
      <c r="B219">
        <v>2.7</v>
      </c>
      <c r="C219">
        <v>1.8E-3</v>
      </c>
      <c r="D219">
        <f>Sheet1!$J$3*Sheet1!$M$6*Sheet2!C219</f>
        <v>1.7594999999999998</v>
      </c>
      <c r="E219">
        <f>D219*EXP(-B219*Sheet1!$J$13*Sheet1!$B$57)</f>
        <v>1.176832460966772</v>
      </c>
    </row>
    <row r="220" spans="1:5" x14ac:dyDescent="0.25">
      <c r="A220">
        <v>618</v>
      </c>
      <c r="B220">
        <v>2.8</v>
      </c>
      <c r="C220">
        <v>1.8E-3</v>
      </c>
      <c r="D220">
        <f>Sheet1!$J$3*Sheet1!$M$6*Sheet2!C220</f>
        <v>1.7594999999999998</v>
      </c>
      <c r="E220">
        <f>D220*EXP(-B220*Sheet1!$J$13*Sheet1!$B$57)</f>
        <v>1.159431801787346</v>
      </c>
    </row>
    <row r="221" spans="1:5" x14ac:dyDescent="0.25">
      <c r="A221">
        <v>619</v>
      </c>
      <c r="B221">
        <v>2.8</v>
      </c>
      <c r="C221">
        <v>1.8E-3</v>
      </c>
      <c r="D221">
        <f>Sheet1!$J$3*Sheet1!$M$6*Sheet2!C221</f>
        <v>1.7594999999999998</v>
      </c>
      <c r="E221">
        <f>D221*EXP(-B221*Sheet1!$J$13*Sheet1!$B$57)</f>
        <v>1.159431801787346</v>
      </c>
    </row>
    <row r="222" spans="1:5" x14ac:dyDescent="0.25">
      <c r="A222">
        <v>620</v>
      </c>
      <c r="B222">
        <v>2.8</v>
      </c>
      <c r="C222">
        <v>1.8E-3</v>
      </c>
      <c r="D222">
        <f>Sheet1!$J$3*Sheet1!$M$6*Sheet2!C222</f>
        <v>1.7594999999999998</v>
      </c>
      <c r="E222">
        <f>D222*EXP(-B222*Sheet1!$J$13*Sheet1!$B$57)</f>
        <v>1.159431801787346</v>
      </c>
    </row>
    <row r="223" spans="1:5" x14ac:dyDescent="0.25">
      <c r="A223">
        <v>621</v>
      </c>
      <c r="B223">
        <v>2.8</v>
      </c>
      <c r="C223">
        <v>1.8E-3</v>
      </c>
      <c r="D223">
        <f>Sheet1!$J$3*Sheet1!$M$6*Sheet2!C223</f>
        <v>1.7594999999999998</v>
      </c>
      <c r="E223">
        <f>D223*EXP(-B223*Sheet1!$J$13*Sheet1!$B$57)</f>
        <v>1.159431801787346</v>
      </c>
    </row>
    <row r="224" spans="1:5" x14ac:dyDescent="0.25">
      <c r="A224">
        <v>622</v>
      </c>
      <c r="B224">
        <v>2.8</v>
      </c>
      <c r="C224">
        <v>1.8E-3</v>
      </c>
      <c r="D224">
        <f>Sheet1!$J$3*Sheet1!$M$6*Sheet2!C224</f>
        <v>1.7594999999999998</v>
      </c>
      <c r="E224">
        <f>D224*EXP(-B224*Sheet1!$J$13*Sheet1!$B$57)</f>
        <v>1.159431801787346</v>
      </c>
    </row>
    <row r="225" spans="1:5" x14ac:dyDescent="0.25">
      <c r="A225">
        <v>623</v>
      </c>
      <c r="B225">
        <v>2.8</v>
      </c>
      <c r="C225">
        <v>1.8E-3</v>
      </c>
      <c r="D225">
        <f>Sheet1!$J$3*Sheet1!$M$6*Sheet2!C225</f>
        <v>1.7594999999999998</v>
      </c>
      <c r="E225">
        <f>D225*EXP(-B225*Sheet1!$J$13*Sheet1!$B$57)</f>
        <v>1.159431801787346</v>
      </c>
    </row>
    <row r="226" spans="1:5" x14ac:dyDescent="0.25">
      <c r="A226">
        <v>624</v>
      </c>
      <c r="B226">
        <v>2.8</v>
      </c>
      <c r="C226">
        <v>1.8E-3</v>
      </c>
      <c r="D226">
        <f>Sheet1!$J$3*Sheet1!$M$6*Sheet2!C226</f>
        <v>1.7594999999999998</v>
      </c>
      <c r="E226">
        <f>D226*EXP(-B226*Sheet1!$J$13*Sheet1!$B$57)</f>
        <v>1.159431801787346</v>
      </c>
    </row>
    <row r="227" spans="1:5" x14ac:dyDescent="0.25">
      <c r="A227">
        <v>625</v>
      </c>
      <c r="B227">
        <v>2.8</v>
      </c>
      <c r="C227">
        <v>1.8E-3</v>
      </c>
      <c r="D227">
        <f>Sheet1!$J$3*Sheet1!$M$6*Sheet2!C227</f>
        <v>1.7594999999999998</v>
      </c>
      <c r="E227">
        <f>D227*EXP(-B227*Sheet1!$J$13*Sheet1!$B$57)</f>
        <v>1.159431801787346</v>
      </c>
    </row>
    <row r="228" spans="1:5" x14ac:dyDescent="0.25">
      <c r="A228">
        <v>626</v>
      </c>
      <c r="B228">
        <v>2.8</v>
      </c>
      <c r="C228">
        <v>1.8E-3</v>
      </c>
      <c r="D228">
        <f>Sheet1!$J$3*Sheet1!$M$6*Sheet2!C228</f>
        <v>1.7594999999999998</v>
      </c>
      <c r="E228">
        <f>D228*EXP(-B228*Sheet1!$J$13*Sheet1!$B$57)</f>
        <v>1.159431801787346</v>
      </c>
    </row>
    <row r="229" spans="1:5" x14ac:dyDescent="0.25">
      <c r="A229">
        <v>627</v>
      </c>
      <c r="B229">
        <v>2.9</v>
      </c>
      <c r="C229">
        <v>1.8E-3</v>
      </c>
      <c r="D229">
        <f>Sheet1!$J$3*Sheet1!$M$6*Sheet2!C229</f>
        <v>1.7594999999999998</v>
      </c>
      <c r="E229">
        <f>D229*EXP(-B229*Sheet1!$J$13*Sheet1!$B$57)</f>
        <v>1.1422884289676369</v>
      </c>
    </row>
    <row r="230" spans="1:5" x14ac:dyDescent="0.25">
      <c r="A230">
        <v>628</v>
      </c>
      <c r="B230">
        <v>2.9</v>
      </c>
      <c r="C230">
        <v>1.8E-3</v>
      </c>
      <c r="D230">
        <f>Sheet1!$J$3*Sheet1!$M$6*Sheet2!C230</f>
        <v>1.7594999999999998</v>
      </c>
      <c r="E230">
        <f>D230*EXP(-B230*Sheet1!$J$13*Sheet1!$B$57)</f>
        <v>1.1422884289676369</v>
      </c>
    </row>
    <row r="231" spans="1:5" x14ac:dyDescent="0.25">
      <c r="A231">
        <v>629</v>
      </c>
      <c r="B231">
        <v>2.9</v>
      </c>
      <c r="C231">
        <v>1.8E-3</v>
      </c>
      <c r="D231">
        <f>Sheet1!$J$3*Sheet1!$M$6*Sheet2!C231</f>
        <v>1.7594999999999998</v>
      </c>
      <c r="E231">
        <f>D231*EXP(-B231*Sheet1!$J$13*Sheet1!$B$57)</f>
        <v>1.1422884289676369</v>
      </c>
    </row>
    <row r="232" spans="1:5" x14ac:dyDescent="0.25">
      <c r="A232">
        <v>630</v>
      </c>
      <c r="B232">
        <v>2.8</v>
      </c>
      <c r="C232">
        <v>1.8E-3</v>
      </c>
      <c r="D232">
        <f>Sheet1!$J$3*Sheet1!$M$6*Sheet2!C232</f>
        <v>1.7594999999999998</v>
      </c>
      <c r="E232">
        <f>D232*EXP(-B232*Sheet1!$J$13*Sheet1!$B$57)</f>
        <v>1.159431801787346</v>
      </c>
    </row>
    <row r="233" spans="1:5" x14ac:dyDescent="0.25">
      <c r="A233">
        <v>631</v>
      </c>
      <c r="B233">
        <v>2.8</v>
      </c>
      <c r="C233">
        <v>1.8E-3</v>
      </c>
      <c r="D233">
        <f>Sheet1!$J$3*Sheet1!$M$6*Sheet2!C233</f>
        <v>1.7594999999999998</v>
      </c>
      <c r="E233">
        <f>D233*EXP(-B233*Sheet1!$J$13*Sheet1!$B$57)</f>
        <v>1.159431801787346</v>
      </c>
    </row>
    <row r="234" spans="1:5" x14ac:dyDescent="0.25">
      <c r="A234">
        <v>632</v>
      </c>
      <c r="B234">
        <v>2.9</v>
      </c>
      <c r="C234">
        <v>1.8E-3</v>
      </c>
      <c r="D234">
        <f>Sheet1!$J$3*Sheet1!$M$6*Sheet2!C234</f>
        <v>1.7594999999999998</v>
      </c>
      <c r="E234">
        <f>D234*EXP(-B234*Sheet1!$J$13*Sheet1!$B$57)</f>
        <v>1.1422884289676369</v>
      </c>
    </row>
    <row r="235" spans="1:5" x14ac:dyDescent="0.25">
      <c r="A235">
        <v>633</v>
      </c>
      <c r="B235">
        <v>2.8</v>
      </c>
      <c r="C235">
        <v>1.8E-3</v>
      </c>
      <c r="D235">
        <f>Sheet1!$J$3*Sheet1!$M$6*Sheet2!C235</f>
        <v>1.7594999999999998</v>
      </c>
      <c r="E235">
        <f>D235*EXP(-B235*Sheet1!$J$13*Sheet1!$B$57)</f>
        <v>1.159431801787346</v>
      </c>
    </row>
    <row r="236" spans="1:5" x14ac:dyDescent="0.25">
      <c r="A236">
        <v>634</v>
      </c>
      <c r="B236">
        <v>2.9</v>
      </c>
      <c r="C236">
        <v>1.8E-3</v>
      </c>
      <c r="D236">
        <f>Sheet1!$J$3*Sheet1!$M$6*Sheet2!C236</f>
        <v>1.7594999999999998</v>
      </c>
      <c r="E236">
        <f>D236*EXP(-B236*Sheet1!$J$13*Sheet1!$B$57)</f>
        <v>1.1422884289676369</v>
      </c>
    </row>
    <row r="237" spans="1:5" x14ac:dyDescent="0.25">
      <c r="A237">
        <v>635</v>
      </c>
      <c r="B237">
        <v>2.9</v>
      </c>
      <c r="C237">
        <v>1.8E-3</v>
      </c>
      <c r="D237">
        <f>Sheet1!$J$3*Sheet1!$M$6*Sheet2!C237</f>
        <v>1.7594999999999998</v>
      </c>
      <c r="E237">
        <f>D237*EXP(-B237*Sheet1!$J$13*Sheet1!$B$57)</f>
        <v>1.1422884289676369</v>
      </c>
    </row>
    <row r="238" spans="1:5" x14ac:dyDescent="0.25">
      <c r="A238">
        <v>636</v>
      </c>
      <c r="B238">
        <v>2.9</v>
      </c>
      <c r="C238">
        <v>1.8E-3</v>
      </c>
      <c r="D238">
        <f>Sheet1!$J$3*Sheet1!$M$6*Sheet2!C238</f>
        <v>1.7594999999999998</v>
      </c>
      <c r="E238">
        <f>D238*EXP(-B238*Sheet1!$J$13*Sheet1!$B$57)</f>
        <v>1.1422884289676369</v>
      </c>
    </row>
    <row r="239" spans="1:5" x14ac:dyDescent="0.25">
      <c r="A239">
        <v>637</v>
      </c>
      <c r="B239">
        <v>3.1</v>
      </c>
      <c r="C239">
        <v>1.8E-3</v>
      </c>
      <c r="D239">
        <f>Sheet1!$J$3*Sheet1!$M$6*Sheet2!C239</f>
        <v>1.7594999999999998</v>
      </c>
      <c r="E239">
        <f>D239*EXP(-B239*Sheet1!$J$13*Sheet1!$B$57)</f>
        <v>1.1087583816998348</v>
      </c>
    </row>
    <row r="240" spans="1:5" x14ac:dyDescent="0.25">
      <c r="A240">
        <v>638</v>
      </c>
      <c r="B240">
        <v>3.1</v>
      </c>
      <c r="C240">
        <v>1.8E-3</v>
      </c>
      <c r="D240">
        <f>Sheet1!$J$3*Sheet1!$M$6*Sheet2!C240</f>
        <v>1.7594999999999998</v>
      </c>
      <c r="E240">
        <f>D240*EXP(-B240*Sheet1!$J$13*Sheet1!$B$57)</f>
        <v>1.1087583816998348</v>
      </c>
    </row>
    <row r="241" spans="1:5" x14ac:dyDescent="0.25">
      <c r="A241">
        <v>639</v>
      </c>
      <c r="B241">
        <v>3.1</v>
      </c>
      <c r="C241">
        <v>1.8E-3</v>
      </c>
      <c r="D241">
        <f>Sheet1!$J$3*Sheet1!$M$6*Sheet2!C241</f>
        <v>1.7594999999999998</v>
      </c>
      <c r="E241">
        <f>D241*EXP(-B241*Sheet1!$J$13*Sheet1!$B$57)</f>
        <v>1.1087583816998348</v>
      </c>
    </row>
    <row r="242" spans="1:5" x14ac:dyDescent="0.25">
      <c r="A242">
        <v>640</v>
      </c>
      <c r="B242">
        <v>3.3</v>
      </c>
      <c r="C242">
        <v>1.8E-3</v>
      </c>
      <c r="D242">
        <f>Sheet1!$J$3*Sheet1!$M$6*Sheet2!C242</f>
        <v>1.7594999999999998</v>
      </c>
      <c r="E242">
        <f>D242*EXP(-B242*Sheet1!$J$13*Sheet1!$B$57)</f>
        <v>1.0762125552656421</v>
      </c>
    </row>
    <row r="243" spans="1:5" x14ac:dyDescent="0.25">
      <c r="A243">
        <v>641</v>
      </c>
      <c r="B243">
        <v>3.3</v>
      </c>
      <c r="C243">
        <v>1.8E-3</v>
      </c>
      <c r="D243">
        <f>Sheet1!$J$3*Sheet1!$M$6*Sheet2!C243</f>
        <v>1.7594999999999998</v>
      </c>
      <c r="E243">
        <f>D243*EXP(-B243*Sheet1!$J$13*Sheet1!$B$57)</f>
        <v>1.0762125552656421</v>
      </c>
    </row>
    <row r="244" spans="1:5" x14ac:dyDescent="0.25">
      <c r="A244">
        <v>642</v>
      </c>
      <c r="B244">
        <v>3.5</v>
      </c>
      <c r="C244">
        <v>1.8E-3</v>
      </c>
      <c r="D244">
        <f>Sheet1!$J$3*Sheet1!$M$6*Sheet2!C244</f>
        <v>1.7594999999999998</v>
      </c>
      <c r="E244">
        <f>D244*EXP(-B244*Sheet1!$J$13*Sheet1!$B$57)</f>
        <v>1.0446220594388813</v>
      </c>
    </row>
    <row r="245" spans="1:5" x14ac:dyDescent="0.25">
      <c r="A245">
        <v>643</v>
      </c>
      <c r="B245">
        <v>3.7</v>
      </c>
      <c r="C245">
        <v>1.8E-3</v>
      </c>
      <c r="D245">
        <f>Sheet1!$J$3*Sheet1!$M$6*Sheet2!C245</f>
        <v>1.7594999999999998</v>
      </c>
      <c r="E245">
        <f>D245*EXP(-B245*Sheet1!$J$13*Sheet1!$B$57)</f>
        <v>1.0139588520196918</v>
      </c>
    </row>
    <row r="246" spans="1:5" x14ac:dyDescent="0.25">
      <c r="A246">
        <v>644</v>
      </c>
      <c r="B246">
        <v>3.8</v>
      </c>
      <c r="C246">
        <v>1.8E-3</v>
      </c>
      <c r="D246">
        <f>Sheet1!$J$3*Sheet1!$M$6*Sheet2!C246</f>
        <v>1.7594999999999998</v>
      </c>
      <c r="E246">
        <f>D246*EXP(-B246*Sheet1!$J$13*Sheet1!$B$57)</f>
        <v>0.99896644401671897</v>
      </c>
    </row>
    <row r="247" spans="1:5" x14ac:dyDescent="0.25">
      <c r="A247">
        <v>645</v>
      </c>
      <c r="B247">
        <v>4</v>
      </c>
      <c r="C247">
        <v>1.8E-3</v>
      </c>
      <c r="D247">
        <f>Sheet1!$J$3*Sheet1!$M$6*Sheet2!C247</f>
        <v>1.7594999999999998</v>
      </c>
      <c r="E247">
        <f>D247*EXP(-B247*Sheet1!$J$13*Sheet1!$B$57)</f>
        <v>0.96964338406320005</v>
      </c>
    </row>
    <row r="248" spans="1:5" x14ac:dyDescent="0.25">
      <c r="A248">
        <v>646</v>
      </c>
      <c r="B248">
        <v>4.2</v>
      </c>
      <c r="C248">
        <v>1.8E-3</v>
      </c>
      <c r="D248">
        <f>Sheet1!$J$3*Sheet1!$M$6*Sheet2!C248</f>
        <v>1.7594999999999998</v>
      </c>
      <c r="E248">
        <f>D248*EXP(-B248*Sheet1!$J$13*Sheet1!$B$57)</f>
        <v>0.94118105556886855</v>
      </c>
    </row>
    <row r="249" spans="1:5" x14ac:dyDescent="0.25">
      <c r="A249">
        <v>647</v>
      </c>
      <c r="B249">
        <v>4.4000000000000004</v>
      </c>
      <c r="C249">
        <v>1.8E-3</v>
      </c>
      <c r="D249">
        <f>Sheet1!$J$3*Sheet1!$M$6*Sheet2!C249</f>
        <v>1.7594999999999998</v>
      </c>
      <c r="E249">
        <f>D249*EXP(-B249*Sheet1!$J$13*Sheet1!$B$57)</f>
        <v>0.91355419314034425</v>
      </c>
    </row>
    <row r="250" spans="1:5" x14ac:dyDescent="0.25">
      <c r="A250">
        <v>648</v>
      </c>
      <c r="B250">
        <v>4.5</v>
      </c>
      <c r="C250">
        <v>1.8E-3</v>
      </c>
      <c r="D250">
        <f>Sheet1!$J$3*Sheet1!$M$6*Sheet2!C250</f>
        <v>1.7594999999999998</v>
      </c>
      <c r="E250">
        <f>D250*EXP(-B250*Sheet1!$J$13*Sheet1!$B$57)</f>
        <v>0.90004636965312379</v>
      </c>
    </row>
    <row r="251" spans="1:5" x14ac:dyDescent="0.25">
      <c r="A251">
        <v>649</v>
      </c>
      <c r="B251">
        <v>4.5999999999999996</v>
      </c>
      <c r="C251">
        <v>1.8E-3</v>
      </c>
      <c r="D251">
        <f>Sheet1!$J$3*Sheet1!$M$6*Sheet2!C251</f>
        <v>1.7594999999999998</v>
      </c>
      <c r="E251">
        <f>D251*EXP(-B251*Sheet1!$J$13*Sheet1!$B$57)</f>
        <v>0.88673827300940289</v>
      </c>
    </row>
    <row r="252" spans="1:5" x14ac:dyDescent="0.25">
      <c r="A252">
        <v>650</v>
      </c>
      <c r="B252">
        <v>4.5999999999999996</v>
      </c>
      <c r="C252">
        <v>1.6199999999999999E-3</v>
      </c>
      <c r="D252">
        <f>Sheet1!$J$3*Sheet1!$M$6*Sheet2!C252</f>
        <v>1.5835499999999998</v>
      </c>
      <c r="E252">
        <f>D252*EXP(-B252*Sheet1!$J$13*Sheet1!$B$57)</f>
        <v>0.79806444570846258</v>
      </c>
    </row>
    <row r="253" spans="1:5" x14ac:dyDescent="0.25">
      <c r="A253">
        <v>651</v>
      </c>
      <c r="B253">
        <v>4.7</v>
      </c>
      <c r="C253">
        <v>1.6199999999999999E-3</v>
      </c>
      <c r="D253">
        <f>Sheet1!$J$3*Sheet1!$M$6*Sheet2!C253</f>
        <v>1.5835499999999998</v>
      </c>
      <c r="E253">
        <f>D253*EXP(-B253*Sheet1!$J$13*Sheet1!$B$57)</f>
        <v>0.78626425504106512</v>
      </c>
    </row>
    <row r="254" spans="1:5" x14ac:dyDescent="0.25">
      <c r="A254">
        <v>652</v>
      </c>
      <c r="B254">
        <v>4.7</v>
      </c>
      <c r="C254">
        <v>1.6199999999999999E-3</v>
      </c>
      <c r="D254">
        <f>Sheet1!$J$3*Sheet1!$M$6*Sheet2!C254</f>
        <v>1.5835499999999998</v>
      </c>
      <c r="E254">
        <f>D254*EXP(-B254*Sheet1!$J$13*Sheet1!$B$57)</f>
        <v>0.78626425504106512</v>
      </c>
    </row>
    <row r="255" spans="1:5" x14ac:dyDescent="0.25">
      <c r="A255">
        <v>653</v>
      </c>
      <c r="B255">
        <v>4.7</v>
      </c>
      <c r="C255">
        <v>1.6199999999999999E-3</v>
      </c>
      <c r="D255">
        <f>Sheet1!$J$3*Sheet1!$M$6*Sheet2!C255</f>
        <v>1.5835499999999998</v>
      </c>
      <c r="E255">
        <f>D255*EXP(-B255*Sheet1!$J$13*Sheet1!$B$57)</f>
        <v>0.78626425504106512</v>
      </c>
    </row>
    <row r="256" spans="1:5" x14ac:dyDescent="0.25">
      <c r="A256">
        <v>654</v>
      </c>
      <c r="B256">
        <v>4.7</v>
      </c>
      <c r="C256">
        <v>1.6199999999999999E-3</v>
      </c>
      <c r="D256">
        <f>Sheet1!$J$3*Sheet1!$M$6*Sheet2!C256</f>
        <v>1.5835499999999998</v>
      </c>
      <c r="E256">
        <f>D256*EXP(-B256*Sheet1!$J$13*Sheet1!$B$57)</f>
        <v>0.78626425504106512</v>
      </c>
    </row>
    <row r="257" spans="1:5" x14ac:dyDescent="0.25">
      <c r="A257">
        <v>655</v>
      </c>
      <c r="B257">
        <v>4.7</v>
      </c>
      <c r="C257">
        <v>1.6199999999999999E-3</v>
      </c>
      <c r="D257">
        <f>Sheet1!$J$3*Sheet1!$M$6*Sheet2!C257</f>
        <v>1.5835499999999998</v>
      </c>
      <c r="E257">
        <f>D257*EXP(-B257*Sheet1!$J$13*Sheet1!$B$57)</f>
        <v>0.78626425504106512</v>
      </c>
    </row>
    <row r="258" spans="1:5" x14ac:dyDescent="0.25">
      <c r="A258">
        <v>656</v>
      </c>
      <c r="B258">
        <v>4.7</v>
      </c>
      <c r="C258">
        <v>1.6199999999999999E-3</v>
      </c>
      <c r="D258">
        <f>Sheet1!$J$3*Sheet1!$M$6*Sheet2!C258</f>
        <v>1.5835499999999998</v>
      </c>
      <c r="E258">
        <f>D258*EXP(-B258*Sheet1!$J$13*Sheet1!$B$57)</f>
        <v>0.78626425504106512</v>
      </c>
    </row>
    <row r="259" spans="1:5" x14ac:dyDescent="0.25">
      <c r="A259">
        <v>657</v>
      </c>
      <c r="B259">
        <v>4.9000000000000004</v>
      </c>
      <c r="C259">
        <v>1.6199999999999999E-3</v>
      </c>
      <c r="D259">
        <f>Sheet1!$J$3*Sheet1!$M$6*Sheet2!C259</f>
        <v>1.5835499999999998</v>
      </c>
      <c r="E259">
        <f>D259*EXP(-B259*Sheet1!$J$13*Sheet1!$B$57)</f>
        <v>0.76318472716706165</v>
      </c>
    </row>
    <row r="260" spans="1:5" x14ac:dyDescent="0.25">
      <c r="A260">
        <v>658</v>
      </c>
      <c r="B260">
        <v>5</v>
      </c>
      <c r="C260">
        <v>1.6199999999999999E-3</v>
      </c>
      <c r="D260">
        <f>Sheet1!$J$3*Sheet1!$M$6*Sheet2!C260</f>
        <v>1.5835499999999998</v>
      </c>
      <c r="E260">
        <f>D260*EXP(-B260*Sheet1!$J$13*Sheet1!$B$57)</f>
        <v>0.75190026844515689</v>
      </c>
    </row>
    <row r="261" spans="1:5" x14ac:dyDescent="0.25">
      <c r="A261">
        <v>659</v>
      </c>
      <c r="B261">
        <v>5.0999999999999996</v>
      </c>
      <c r="C261">
        <v>1.6199999999999999E-3</v>
      </c>
      <c r="D261">
        <f>Sheet1!$J$3*Sheet1!$M$6*Sheet2!C261</f>
        <v>1.5835499999999998</v>
      </c>
      <c r="E261">
        <f>D261*EXP(-B261*Sheet1!$J$13*Sheet1!$B$57)</f>
        <v>0.74078266186810449</v>
      </c>
    </row>
    <row r="262" spans="1:5" x14ac:dyDescent="0.25">
      <c r="A262">
        <v>660</v>
      </c>
      <c r="B262">
        <v>5.2</v>
      </c>
      <c r="C262">
        <v>1.6199999999999999E-3</v>
      </c>
      <c r="D262">
        <f>Sheet1!$J$3*Sheet1!$M$6*Sheet2!C262</f>
        <v>1.5835499999999998</v>
      </c>
      <c r="E262">
        <f>D262*EXP(-B262*Sheet1!$J$13*Sheet1!$B$57)</f>
        <v>0.72982944035804731</v>
      </c>
    </row>
    <row r="263" spans="1:5" x14ac:dyDescent="0.25">
      <c r="A263">
        <v>661</v>
      </c>
      <c r="B263">
        <v>5.5</v>
      </c>
      <c r="C263">
        <v>1.6199999999999999E-3</v>
      </c>
      <c r="D263">
        <f>Sheet1!$J$3*Sheet1!$M$6*Sheet2!C263</f>
        <v>1.5835499999999998</v>
      </c>
      <c r="E263">
        <f>D263*EXP(-B263*Sheet1!$J$13*Sheet1!$B$57)</f>
        <v>0.69793195939669628</v>
      </c>
    </row>
    <row r="264" spans="1:5" x14ac:dyDescent="0.25">
      <c r="A264">
        <v>662</v>
      </c>
      <c r="B264">
        <v>5.8</v>
      </c>
      <c r="C264">
        <v>1.6199999999999999E-3</v>
      </c>
      <c r="D264">
        <f>Sheet1!$J$3*Sheet1!$M$6*Sheet2!C264</f>
        <v>1.5835499999999998</v>
      </c>
      <c r="E264">
        <f>D264*EXP(-B264*Sheet1!$J$13*Sheet1!$B$57)</f>
        <v>0.66742857030862002</v>
      </c>
    </row>
    <row r="265" spans="1:5" x14ac:dyDescent="0.25">
      <c r="A265">
        <v>663</v>
      </c>
      <c r="B265">
        <v>5.9</v>
      </c>
      <c r="C265">
        <v>1.6199999999999999E-3</v>
      </c>
      <c r="D265">
        <f>Sheet1!$J$3*Sheet1!$M$6*Sheet2!C265</f>
        <v>1.5835499999999998</v>
      </c>
      <c r="E265">
        <f>D265*EXP(-B265*Sheet1!$J$13*Sheet1!$B$57)</f>
        <v>0.65755996329466049</v>
      </c>
    </row>
    <row r="266" spans="1:5" x14ac:dyDescent="0.25">
      <c r="A266">
        <v>664</v>
      </c>
      <c r="B266">
        <v>6.1</v>
      </c>
      <c r="C266">
        <v>1.6199999999999999E-3</v>
      </c>
      <c r="D266">
        <f>Sheet1!$J$3*Sheet1!$M$6*Sheet2!C266</f>
        <v>1.5835499999999998</v>
      </c>
      <c r="E266">
        <f>D266*EXP(-B266*Sheet1!$J$13*Sheet1!$B$57)</f>
        <v>0.63825834376358426</v>
      </c>
    </row>
    <row r="267" spans="1:5" x14ac:dyDescent="0.25">
      <c r="A267">
        <v>665</v>
      </c>
      <c r="B267">
        <v>6.3</v>
      </c>
      <c r="C267">
        <v>1.6199999999999999E-3</v>
      </c>
      <c r="D267">
        <f>Sheet1!$J$3*Sheet1!$M$6*Sheet2!C267</f>
        <v>1.5835499999999998</v>
      </c>
      <c r="E267">
        <f>D267*EXP(-B267*Sheet1!$J$13*Sheet1!$B$57)</f>
        <v>0.61952329235909487</v>
      </c>
    </row>
    <row r="268" spans="1:5" x14ac:dyDescent="0.25">
      <c r="A268">
        <v>666</v>
      </c>
      <c r="B268">
        <v>6.7</v>
      </c>
      <c r="C268">
        <v>1.6199999999999999E-3</v>
      </c>
      <c r="D268">
        <f>Sheet1!$J$3*Sheet1!$M$6*Sheet2!C268</f>
        <v>1.5835499999999998</v>
      </c>
      <c r="E268">
        <f>D268*EXP(-B268*Sheet1!$J$13*Sheet1!$B$57)</f>
        <v>0.58368685929782338</v>
      </c>
    </row>
    <row r="269" spans="1:5" x14ac:dyDescent="0.25">
      <c r="A269">
        <v>667</v>
      </c>
      <c r="B269">
        <v>6.8</v>
      </c>
      <c r="C269">
        <v>1.6199999999999999E-3</v>
      </c>
      <c r="D269">
        <f>Sheet1!$J$3*Sheet1!$M$6*Sheet2!C269</f>
        <v>1.5835499999999998</v>
      </c>
      <c r="E269">
        <f>D269*EXP(-B269*Sheet1!$J$13*Sheet1!$B$57)</f>
        <v>0.57505645824837637</v>
      </c>
    </row>
    <row r="270" spans="1:5" x14ac:dyDescent="0.25">
      <c r="A270">
        <v>668</v>
      </c>
      <c r="B270">
        <v>7</v>
      </c>
      <c r="C270">
        <v>1.6199999999999999E-3</v>
      </c>
      <c r="D270">
        <f>Sheet1!$J$3*Sheet1!$M$6*Sheet2!C270</f>
        <v>1.5835499999999998</v>
      </c>
      <c r="E270">
        <f>D270*EXP(-B270*Sheet1!$J$13*Sheet1!$B$57)</f>
        <v>0.55817659696487443</v>
      </c>
    </row>
    <row r="271" spans="1:5" x14ac:dyDescent="0.25">
      <c r="A271">
        <v>669</v>
      </c>
      <c r="B271">
        <v>7.2</v>
      </c>
      <c r="C271">
        <v>1.6199999999999999E-3</v>
      </c>
      <c r="D271">
        <f>Sheet1!$J$3*Sheet1!$M$6*Sheet2!C271</f>
        <v>1.5835499999999998</v>
      </c>
      <c r="E271">
        <f>D271*EXP(-B271*Sheet1!$J$13*Sheet1!$B$57)</f>
        <v>0.54179221697344981</v>
      </c>
    </row>
    <row r="272" spans="1:5" x14ac:dyDescent="0.25">
      <c r="A272">
        <v>670</v>
      </c>
      <c r="B272">
        <v>7.4</v>
      </c>
      <c r="C272">
        <v>1.6199999999999999E-3</v>
      </c>
      <c r="D272">
        <f>Sheet1!$J$3*Sheet1!$M$6*Sheet2!C272</f>
        <v>1.5835499999999998</v>
      </c>
      <c r="E272">
        <f>D272*EXP(-B272*Sheet1!$J$13*Sheet1!$B$57)</f>
        <v>0.52588877421436908</v>
      </c>
    </row>
    <row r="273" spans="1:5" x14ac:dyDescent="0.25">
      <c r="A273">
        <v>671</v>
      </c>
      <c r="B273">
        <v>7.6</v>
      </c>
      <c r="C273">
        <v>1.6199999999999999E-3</v>
      </c>
      <c r="D273">
        <f>Sheet1!$J$3*Sheet1!$M$6*Sheet2!C273</f>
        <v>1.5835499999999998</v>
      </c>
      <c r="E273">
        <f>D273*EXP(-B273*Sheet1!$J$13*Sheet1!$B$57)</f>
        <v>0.51045215154547763</v>
      </c>
    </row>
    <row r="274" spans="1:5" x14ac:dyDescent="0.25">
      <c r="A274">
        <v>672</v>
      </c>
      <c r="B274">
        <v>7.7</v>
      </c>
      <c r="C274">
        <v>1.6199999999999999E-3</v>
      </c>
      <c r="D274">
        <f>Sheet1!$J$3*Sheet1!$M$6*Sheet2!C274</f>
        <v>1.5835499999999998</v>
      </c>
      <c r="E274">
        <f>D274*EXP(-B274*Sheet1!$J$13*Sheet1!$B$57)</f>
        <v>0.502904599781694</v>
      </c>
    </row>
    <row r="275" spans="1:5" x14ac:dyDescent="0.25">
      <c r="A275">
        <v>673</v>
      </c>
      <c r="B275">
        <v>7.8</v>
      </c>
      <c r="C275">
        <v>1.6199999999999999E-3</v>
      </c>
      <c r="D275">
        <f>Sheet1!$J$3*Sheet1!$M$6*Sheet2!C275</f>
        <v>1.5835499999999998</v>
      </c>
      <c r="E275">
        <f>D275*EXP(-B275*Sheet1!$J$13*Sheet1!$B$57)</f>
        <v>0.49546864621071751</v>
      </c>
    </row>
    <row r="276" spans="1:5" x14ac:dyDescent="0.25">
      <c r="A276">
        <v>674</v>
      </c>
      <c r="B276">
        <v>7.9</v>
      </c>
      <c r="C276">
        <v>1.6199999999999999E-3</v>
      </c>
      <c r="D276">
        <f>Sheet1!$J$3*Sheet1!$M$6*Sheet2!C276</f>
        <v>1.5835499999999998</v>
      </c>
      <c r="E276">
        <f>D276*EXP(-B276*Sheet1!$J$13*Sheet1!$B$57)</f>
        <v>0.48814264074030272</v>
      </c>
    </row>
    <row r="277" spans="1:5" x14ac:dyDescent="0.25">
      <c r="A277">
        <v>675</v>
      </c>
      <c r="B277">
        <v>7.9</v>
      </c>
      <c r="C277">
        <v>1.6199999999999999E-3</v>
      </c>
      <c r="D277">
        <f>Sheet1!$J$3*Sheet1!$M$6*Sheet2!C277</f>
        <v>1.5835499999999998</v>
      </c>
      <c r="E277">
        <f>D277*EXP(-B277*Sheet1!$J$13*Sheet1!$B$57)</f>
        <v>0.48814264074030272</v>
      </c>
    </row>
    <row r="278" spans="1:5" x14ac:dyDescent="0.25">
      <c r="A278">
        <v>676</v>
      </c>
      <c r="B278">
        <v>7.9</v>
      </c>
      <c r="C278">
        <v>1.6199999999999999E-3</v>
      </c>
      <c r="D278">
        <f>Sheet1!$J$3*Sheet1!$M$6*Sheet2!C278</f>
        <v>1.5835499999999998</v>
      </c>
      <c r="E278">
        <f>D278*EXP(-B278*Sheet1!$J$13*Sheet1!$B$57)</f>
        <v>0.48814264074030272</v>
      </c>
    </row>
    <row r="279" spans="1:5" x14ac:dyDescent="0.25">
      <c r="A279">
        <v>677</v>
      </c>
      <c r="B279">
        <v>7.9</v>
      </c>
      <c r="C279">
        <v>1.6199999999999999E-3</v>
      </c>
      <c r="D279">
        <f>Sheet1!$J$3*Sheet1!$M$6*Sheet2!C279</f>
        <v>1.5835499999999998</v>
      </c>
      <c r="E279">
        <f>D279*EXP(-B279*Sheet1!$J$13*Sheet1!$B$57)</f>
        <v>0.48814264074030272</v>
      </c>
    </row>
    <row r="280" spans="1:5" x14ac:dyDescent="0.25">
      <c r="A280">
        <v>678</v>
      </c>
      <c r="B280">
        <v>8.1</v>
      </c>
      <c r="C280">
        <v>1.6199999999999999E-3</v>
      </c>
      <c r="D280">
        <f>Sheet1!$J$3*Sheet1!$M$6*Sheet2!C280</f>
        <v>1.5835499999999998</v>
      </c>
      <c r="E280">
        <f>D280*EXP(-B280*Sheet1!$J$13*Sheet1!$B$57)</f>
        <v>0.47381399536284374</v>
      </c>
    </row>
    <row r="281" spans="1:5" x14ac:dyDescent="0.25">
      <c r="A281">
        <v>679</v>
      </c>
      <c r="B281">
        <v>7.9</v>
      </c>
      <c r="C281">
        <v>1.6199999999999999E-3</v>
      </c>
      <c r="D281">
        <f>Sheet1!$J$3*Sheet1!$M$6*Sheet2!C281</f>
        <v>1.5835499999999998</v>
      </c>
      <c r="E281">
        <f>D281*EXP(-B281*Sheet1!$J$13*Sheet1!$B$57)</f>
        <v>0.48814264074030272</v>
      </c>
    </row>
    <row r="282" spans="1:5" x14ac:dyDescent="0.25">
      <c r="A282">
        <v>680</v>
      </c>
      <c r="B282">
        <v>8.1</v>
      </c>
      <c r="C282">
        <v>1.6199999999999999E-3</v>
      </c>
      <c r="D282">
        <f>Sheet1!$J$3*Sheet1!$M$6*Sheet2!C282</f>
        <v>1.5835499999999998</v>
      </c>
      <c r="E282">
        <f>D282*EXP(-B282*Sheet1!$J$13*Sheet1!$B$57)</f>
        <v>0.47381399536284374</v>
      </c>
    </row>
    <row r="283" spans="1:5" x14ac:dyDescent="0.25">
      <c r="A283">
        <v>681</v>
      </c>
      <c r="B283">
        <v>7.9</v>
      </c>
      <c r="C283">
        <v>1.6199999999999999E-3</v>
      </c>
      <c r="D283">
        <f>Sheet1!$J$3*Sheet1!$M$6*Sheet2!C283</f>
        <v>1.5835499999999998</v>
      </c>
      <c r="E283">
        <f>D283*EXP(-B283*Sheet1!$J$13*Sheet1!$B$57)</f>
        <v>0.48814264074030272</v>
      </c>
    </row>
    <row r="284" spans="1:5" x14ac:dyDescent="0.25">
      <c r="A284">
        <v>682</v>
      </c>
      <c r="B284">
        <v>7.8</v>
      </c>
      <c r="C284">
        <v>1.6199999999999999E-3</v>
      </c>
      <c r="D284">
        <f>Sheet1!$J$3*Sheet1!$M$6*Sheet2!C284</f>
        <v>1.5835499999999998</v>
      </c>
      <c r="E284">
        <f>D284*EXP(-B284*Sheet1!$J$13*Sheet1!$B$57)</f>
        <v>0.49546864621071751</v>
      </c>
    </row>
    <row r="285" spans="1:5" x14ac:dyDescent="0.25">
      <c r="A285">
        <v>683</v>
      </c>
      <c r="B285">
        <v>7.4</v>
      </c>
      <c r="C285">
        <v>1.6199999999999999E-3</v>
      </c>
      <c r="D285">
        <f>Sheet1!$J$3*Sheet1!$M$6*Sheet2!C285</f>
        <v>1.5835499999999998</v>
      </c>
      <c r="E285">
        <f>D285*EXP(-B285*Sheet1!$J$13*Sheet1!$B$57)</f>
        <v>0.52588877421436908</v>
      </c>
    </row>
    <row r="286" spans="1:5" x14ac:dyDescent="0.25">
      <c r="A286">
        <v>684</v>
      </c>
      <c r="B286">
        <v>7.2</v>
      </c>
      <c r="C286">
        <v>1.6199999999999999E-3</v>
      </c>
      <c r="D286">
        <f>Sheet1!$J$3*Sheet1!$M$6*Sheet2!C286</f>
        <v>1.5835499999999998</v>
      </c>
      <c r="E286">
        <f>D286*EXP(-B286*Sheet1!$J$13*Sheet1!$B$57)</f>
        <v>0.54179221697344981</v>
      </c>
    </row>
    <row r="287" spans="1:5" x14ac:dyDescent="0.25">
      <c r="A287">
        <v>685</v>
      </c>
      <c r="B287">
        <v>6.8</v>
      </c>
      <c r="C287">
        <v>1.6199999999999999E-3</v>
      </c>
      <c r="D287">
        <f>Sheet1!$J$3*Sheet1!$M$6*Sheet2!C287</f>
        <v>1.5835499999999998</v>
      </c>
      <c r="E287">
        <f>D287*EXP(-B287*Sheet1!$J$13*Sheet1!$B$57)</f>
        <v>0.57505645824837637</v>
      </c>
    </row>
    <row r="288" spans="1:5" x14ac:dyDescent="0.25">
      <c r="A288">
        <v>686</v>
      </c>
      <c r="B288">
        <v>6.3</v>
      </c>
      <c r="C288">
        <v>1.6199999999999999E-3</v>
      </c>
      <c r="D288">
        <f>Sheet1!$J$3*Sheet1!$M$6*Sheet2!C288</f>
        <v>1.5835499999999998</v>
      </c>
      <c r="E288">
        <f>D288*EXP(-B288*Sheet1!$J$13*Sheet1!$B$57)</f>
        <v>0.61952329235909487</v>
      </c>
    </row>
    <row r="289" spans="1:5" x14ac:dyDescent="0.25">
      <c r="A289">
        <v>687</v>
      </c>
      <c r="B289">
        <v>5.8</v>
      </c>
      <c r="C289">
        <v>1.6199999999999999E-3</v>
      </c>
      <c r="D289">
        <f>Sheet1!$J$3*Sheet1!$M$6*Sheet2!C289</f>
        <v>1.5835499999999998</v>
      </c>
      <c r="E289">
        <f>D289*EXP(-B289*Sheet1!$J$13*Sheet1!$B$57)</f>
        <v>0.66742857030862002</v>
      </c>
    </row>
    <row r="290" spans="1:5" x14ac:dyDescent="0.25">
      <c r="A290">
        <v>688</v>
      </c>
      <c r="B290">
        <v>5.0999999999999996</v>
      </c>
      <c r="C290">
        <v>1.6199999999999999E-3</v>
      </c>
      <c r="D290">
        <f>Sheet1!$J$3*Sheet1!$M$6*Sheet2!C290</f>
        <v>1.5835499999999998</v>
      </c>
      <c r="E290">
        <f>D290*EXP(-B290*Sheet1!$J$13*Sheet1!$B$57)</f>
        <v>0.74078266186810449</v>
      </c>
    </row>
    <row r="291" spans="1:5" x14ac:dyDescent="0.25">
      <c r="A291">
        <v>689</v>
      </c>
      <c r="B291">
        <v>4.5999999999999996</v>
      </c>
      <c r="C291">
        <v>1.6199999999999999E-3</v>
      </c>
      <c r="D291">
        <f>Sheet1!$J$3*Sheet1!$M$6*Sheet2!C291</f>
        <v>1.5835499999999998</v>
      </c>
      <c r="E291">
        <f>D291*EXP(-B291*Sheet1!$J$13*Sheet1!$B$57)</f>
        <v>0.79806444570846258</v>
      </c>
    </row>
    <row r="292" spans="1:5" x14ac:dyDescent="0.25">
      <c r="A292">
        <v>690</v>
      </c>
      <c r="B292">
        <v>4.0999999999999996</v>
      </c>
      <c r="C292">
        <v>1.6199999999999999E-3</v>
      </c>
      <c r="D292">
        <f>Sheet1!$J$3*Sheet1!$M$6*Sheet2!C292</f>
        <v>1.5835499999999998</v>
      </c>
      <c r="E292">
        <f>D292*EXP(-B292*Sheet1!$J$13*Sheet1!$B$57)</f>
        <v>0.85977560260091002</v>
      </c>
    </row>
    <row r="293" spans="1:5" x14ac:dyDescent="0.25">
      <c r="A293">
        <v>691</v>
      </c>
      <c r="B293">
        <v>3.6</v>
      </c>
      <c r="C293">
        <v>1.6199999999999999E-3</v>
      </c>
      <c r="D293">
        <f>Sheet1!$J$3*Sheet1!$M$6*Sheet2!C293</f>
        <v>1.5835499999999998</v>
      </c>
      <c r="E293">
        <f>D293*EXP(-B293*Sheet1!$J$13*Sheet1!$B$57)</f>
        <v>0.92625863838795386</v>
      </c>
    </row>
    <row r="294" spans="1:5" x14ac:dyDescent="0.25">
      <c r="A294">
        <v>692</v>
      </c>
      <c r="B294">
        <v>3.2</v>
      </c>
      <c r="C294">
        <v>1.6199999999999999E-3</v>
      </c>
      <c r="D294">
        <f>Sheet1!$J$3*Sheet1!$M$6*Sheet2!C294</f>
        <v>1.5835499999999998</v>
      </c>
      <c r="E294">
        <f>D294*EXP(-B294*Sheet1!$J$13*Sheet1!$B$57)</f>
        <v>0.98312784002108045</v>
      </c>
    </row>
    <row r="295" spans="1:5" x14ac:dyDescent="0.25">
      <c r="A295">
        <v>693</v>
      </c>
      <c r="B295">
        <v>2.7</v>
      </c>
      <c r="C295">
        <v>1.6199999999999999E-3</v>
      </c>
      <c r="D295">
        <f>Sheet1!$J$3*Sheet1!$M$6*Sheet2!C295</f>
        <v>1.5835499999999998</v>
      </c>
      <c r="E295">
        <f>D295*EXP(-B295*Sheet1!$J$13*Sheet1!$B$57)</f>
        <v>1.0591492148700947</v>
      </c>
    </row>
    <row r="296" spans="1:5" x14ac:dyDescent="0.25">
      <c r="A296">
        <v>694</v>
      </c>
      <c r="B296">
        <v>2.2999999999999998</v>
      </c>
      <c r="C296">
        <v>1.6199999999999999E-3</v>
      </c>
      <c r="D296">
        <f>Sheet1!$J$3*Sheet1!$M$6*Sheet2!C296</f>
        <v>1.5835499999999998</v>
      </c>
      <c r="E296">
        <f>D296*EXP(-B296*Sheet1!$J$13*Sheet1!$B$57)</f>
        <v>1.1241774561881392</v>
      </c>
    </row>
    <row r="297" spans="1:5" x14ac:dyDescent="0.25">
      <c r="A297">
        <v>695</v>
      </c>
      <c r="B297">
        <v>2</v>
      </c>
      <c r="C297">
        <v>1.6199999999999999E-3</v>
      </c>
      <c r="D297">
        <f>Sheet1!$J$3*Sheet1!$M$6*Sheet2!C297</f>
        <v>1.5835499999999998</v>
      </c>
      <c r="E297">
        <f>D297*EXP(-B297*Sheet1!$J$13*Sheet1!$B$57)</f>
        <v>1.1755555719530881</v>
      </c>
    </row>
    <row r="298" spans="1:5" x14ac:dyDescent="0.25">
      <c r="A298">
        <v>696</v>
      </c>
      <c r="B298">
        <v>1.8</v>
      </c>
      <c r="C298">
        <v>1.6199999999999999E-3</v>
      </c>
      <c r="D298">
        <f>Sheet1!$J$3*Sheet1!$M$6*Sheet2!C298</f>
        <v>1.5835499999999998</v>
      </c>
      <c r="E298">
        <f>D298*EXP(-B298*Sheet1!$J$13*Sheet1!$B$57)</f>
        <v>1.2111056381749876</v>
      </c>
    </row>
    <row r="299" spans="1:5" x14ac:dyDescent="0.25">
      <c r="A299">
        <v>697</v>
      </c>
      <c r="B299">
        <v>1.5</v>
      </c>
      <c r="C299">
        <v>1.6199999999999999E-3</v>
      </c>
      <c r="D299">
        <f>Sheet1!$J$3*Sheet1!$M$6*Sheet2!C299</f>
        <v>1.5835499999999998</v>
      </c>
      <c r="E299">
        <f>D299*EXP(-B299*Sheet1!$J$13*Sheet1!$B$57)</f>
        <v>1.2664566197653204</v>
      </c>
    </row>
    <row r="300" spans="1:5" x14ac:dyDescent="0.25">
      <c r="A300">
        <v>698</v>
      </c>
      <c r="B300">
        <v>1.4</v>
      </c>
      <c r="C300">
        <v>1.6199999999999999E-3</v>
      </c>
      <c r="D300">
        <f>Sheet1!$J$3*Sheet1!$M$6*Sheet2!C300</f>
        <v>1.5835499999999998</v>
      </c>
      <c r="E300">
        <f>D300*EXP(-B300*Sheet1!$J$13*Sheet1!$B$57)</f>
        <v>1.2854634988004585</v>
      </c>
    </row>
    <row r="301" spans="1:5" x14ac:dyDescent="0.25">
      <c r="A301">
        <v>699</v>
      </c>
      <c r="B301">
        <v>1.3</v>
      </c>
      <c r="C301">
        <v>1.6199999999999999E-3</v>
      </c>
      <c r="D301">
        <f>Sheet1!$J$3*Sheet1!$M$6*Sheet2!C301</f>
        <v>1.5835499999999998</v>
      </c>
      <c r="E301">
        <f>D301*EXP(-B301*Sheet1!$J$13*Sheet1!$B$57)</f>
        <v>1.3047556315466342</v>
      </c>
    </row>
    <row r="302" spans="1:5" x14ac:dyDescent="0.25">
      <c r="A302">
        <v>700</v>
      </c>
      <c r="B302">
        <v>1.2</v>
      </c>
      <c r="C302">
        <v>1.6199999999999999E-3</v>
      </c>
      <c r="D302">
        <f>Sheet1!$J$3*Sheet1!$M$6*Sheet2!C302</f>
        <v>1.5835499999999998</v>
      </c>
      <c r="E302">
        <f>D302*EXP(-B302*Sheet1!$J$13*Sheet1!$B$57)</f>
        <v>1.324337299068588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8c736cc-4270-4c9c-80b2-335be473daa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74992D841A084EA47F4CA59EA8621E" ma:contentTypeVersion="15" ma:contentTypeDescription="Create a new document." ma:contentTypeScope="" ma:versionID="c03fec7b5bbb4e0e2bd5151593ed5b2a">
  <xsd:schema xmlns:xsd="http://www.w3.org/2001/XMLSchema" xmlns:xs="http://www.w3.org/2001/XMLSchema" xmlns:p="http://schemas.microsoft.com/office/2006/metadata/properties" xmlns:ns3="58c736cc-4270-4c9c-80b2-335be473daab" xmlns:ns4="6a3c7c1a-a669-4bf6-8cb1-6013ac82060c" targetNamespace="http://schemas.microsoft.com/office/2006/metadata/properties" ma:root="true" ma:fieldsID="247ac9d40cae9300bd105869f0a48551" ns3:_="" ns4:_="">
    <xsd:import namespace="58c736cc-4270-4c9c-80b2-335be473daab"/>
    <xsd:import namespace="6a3c7c1a-a669-4bf6-8cb1-6013ac82060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c736cc-4270-4c9c-80b2-335be473da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3c7c1a-a669-4bf6-8cb1-6013ac82060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192710-D191-4E15-A474-AECDF4B04E1E}">
  <ds:schemaRefs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elements/1.1/"/>
    <ds:schemaRef ds:uri="58c736cc-4270-4c9c-80b2-335be473daab"/>
    <ds:schemaRef ds:uri="http://schemas.microsoft.com/office/infopath/2007/PartnerControls"/>
    <ds:schemaRef ds:uri="http://schemas.openxmlformats.org/package/2006/metadata/core-properties"/>
    <ds:schemaRef ds:uri="6a3c7c1a-a669-4bf6-8cb1-6013ac82060c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EF61871-C56D-46C3-91A3-845A4FE034D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657CF5-B25D-4FF3-9465-7367DE6C30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c736cc-4270-4c9c-80b2-335be473daab"/>
    <ds:schemaRef ds:uri="6a3c7c1a-a669-4bf6-8cb1-6013ac8206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cf48d45-3ddb-4389-a9c1-c115526eb52e}" enabled="0" method="" siteId="{7cf48d45-3ddb-4389-a9c1-c115526eb52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Bell, Lindsey</dc:creator>
  <cp:lastModifiedBy>Bell, Lindsey</cp:lastModifiedBy>
  <dcterms:created xsi:type="dcterms:W3CDTF">2025-01-18T18:52:24Z</dcterms:created>
  <dcterms:modified xsi:type="dcterms:W3CDTF">2025-01-22T22:52:29Z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0x0101009074992D841A084EA47F4CA59EA8621E</vt:lpwstr>
  </property>
</Properties>
</file>